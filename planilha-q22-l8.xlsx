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tapas" sheetId="2" state="visible" r:id="rId2"/>
    <sheet name="Itens" sheetId="3" state="visible" r:id="rId3"/>
    <sheet name="Cotações" sheetId="4" state="visible" r:id="rId4"/>
    <sheet name="Comparativo" sheetId="5" state="visible" r:id="rId5"/>
    <sheet name="Revisões" sheetId="6" state="visible" r:id="rId6"/>
    <sheet name="Fornecedo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"/>
    <numFmt numFmtId="165" formatCode="0.0%"/>
    <numFmt numFmtId="166" formatCode="&quot;R$&quot; #,##0.00"/>
  </numFmts>
  <fonts count="13">
    <font>
      <name val="Calibri"/>
      <family val="2"/>
      <color theme="1"/>
      <sz val="11"/>
      <scheme val="minor"/>
    </font>
    <font>
      <name val="Arial"/>
      <b val="1"/>
      <color rgb="000E3A6B"/>
      <sz val="15"/>
    </font>
    <font>
      <name val="Arial"/>
      <i val="1"/>
      <color rgb="005A6B7D"/>
      <sz val="9"/>
    </font>
    <font>
      <name val="Arial"/>
      <color rgb="005A6B7D"/>
      <sz val="8"/>
    </font>
    <font>
      <name val="Arial"/>
      <b val="1"/>
      <color rgb="00FFFFFF"/>
      <sz val="9"/>
    </font>
    <font>
      <name val="Arial"/>
      <color rgb="001B2A3A"/>
      <sz val="10"/>
    </font>
    <font>
      <name val="Arial"/>
      <b val="1"/>
      <color rgb="000E3A6B"/>
      <sz val="10"/>
    </font>
    <font>
      <name val="Arial"/>
      <b val="1"/>
      <color rgb="000E3A6B"/>
      <sz val="11"/>
    </font>
    <font>
      <name val="Arial"/>
      <b val="1"/>
      <color rgb="002E5E96"/>
      <sz val="9"/>
    </font>
    <font>
      <name val="Arial"/>
      <sz val="9"/>
    </font>
    <font>
      <name val="Arial"/>
      <i val="1"/>
      <color rgb="00B8860B"/>
      <sz val="9"/>
    </font>
    <font>
      <name val="Arial"/>
      <b val="1"/>
      <color rgb="000E3A6B"/>
      <sz val="13"/>
    </font>
    <font>
      <name val="Arial"/>
      <i val="1"/>
      <color rgb="005A6B7D"/>
      <sz val="8"/>
    </font>
  </fonts>
  <fills count="4">
    <fill>
      <patternFill/>
    </fill>
    <fill>
      <patternFill patternType="gray125"/>
    </fill>
    <fill>
      <patternFill patternType="solid">
        <fgColor rgb="000E3A6B"/>
      </patternFill>
    </fill>
    <fill>
      <patternFill patternType="solid">
        <fgColor rgb="00EEF4FB"/>
      </patternFill>
    </fill>
  </fills>
  <borders count="3">
    <border>
      <left/>
      <right/>
      <top/>
      <bottom/>
      <diagonal/>
    </border>
    <border>
      <bottom style="thin">
        <color rgb="00C7D8EC"/>
      </bottom>
    </border>
    <border>
      <top style="thin">
        <color rgb="000E3A6B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  <xf numFmtId="0" fontId="11" fillId="0" borderId="0" pivotButton="0" quotePrefix="0" xfId="0"/>
    <xf numFmtId="0" fontId="4" fillId="2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vertical="top"/>
    </xf>
    <xf numFmtId="165" fontId="9" fillId="0" borderId="1" applyAlignment="1" pivotButton="0" quotePrefix="0" xfId="0">
      <alignment vertical="top"/>
    </xf>
    <xf numFmtId="0" fontId="9" fillId="3" borderId="1" applyAlignment="1" pivotButton="0" quotePrefix="0" xfId="0">
      <alignment vertical="top"/>
    </xf>
    <xf numFmtId="0" fontId="9" fillId="3" borderId="1" applyAlignment="1" pivotButton="0" quotePrefix="0" xfId="0">
      <alignment vertical="top" wrapText="1"/>
    </xf>
    <xf numFmtId="164" fontId="9" fillId="3" borderId="1" applyAlignment="1" pivotButton="0" quotePrefix="0" xfId="0">
      <alignment vertical="top" wrapText="1"/>
    </xf>
    <xf numFmtId="164" fontId="9" fillId="3" borderId="1" applyAlignment="1" pivotButton="0" quotePrefix="0" xfId="0">
      <alignment vertical="top"/>
    </xf>
    <xf numFmtId="165" fontId="9" fillId="3" borderId="1" applyAlignment="1" pivotButton="0" quotePrefix="0" xfId="0">
      <alignment vertical="top"/>
    </xf>
    <xf numFmtId="0" fontId="6" fillId="0" borderId="0" pivotButton="0" quotePrefix="0" xfId="0"/>
    <xf numFmtId="164" fontId="6" fillId="0" borderId="2" pivotButton="0" quotePrefix="0" xfId="0"/>
    <xf numFmtId="0" fontId="12" fillId="0" borderId="0" pivotButton="0" quotePrefix="0" xfId="0"/>
    <xf numFmtId="4" fontId="9" fillId="3" borderId="1" applyAlignment="1" pivotButton="0" quotePrefix="0" xfId="0">
      <alignment vertical="top"/>
    </xf>
    <xf numFmtId="166" fontId="9" fillId="3" borderId="1" applyAlignment="1" pivotButton="0" quotePrefix="0" xfId="0">
      <alignment vertical="top"/>
    </xf>
    <xf numFmtId="4" fontId="9" fillId="0" borderId="1" applyAlignment="1" pivotButton="0" quotePrefix="0" xfId="0">
      <alignment vertical="top"/>
    </xf>
    <xf numFmtId="166" fontId="9" fillId="0" borderId="1" applyAlignment="1" pivotButton="0" quotePrefix="0" xfId="0">
      <alignment vertical="top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46" customWidth="1" min="4" max="4"/>
  </cols>
  <sheetData>
    <row r="1">
      <c r="A1" s="1" t="inlineStr">
        <is>
          <t>RESIDÊNCIA Q22 · L8 — PLANILHA DE CUSTOS E MATERIAIS</t>
        </is>
      </c>
    </row>
    <row r="2">
      <c r="A2" s="2" t="inlineStr">
        <is>
          <t>Gerada automaticamente a partir dos dados do painel de obra · NÃO editar à mão</t>
        </is>
      </c>
    </row>
    <row r="3">
      <c r="A3" s="3" t="inlineStr">
        <is>
          <t>Gerada em 27/07/2026 00:49 (BRT)</t>
        </is>
      </c>
    </row>
    <row r="5">
      <c r="A5" s="4" t="inlineStr">
        <is>
          <t>INDICADOR</t>
        </is>
      </c>
      <c r="B5" s="4" t="inlineStr">
        <is>
          <t>VALOR</t>
        </is>
      </c>
      <c r="C5" s="4" t="inlineStr"/>
      <c r="D5" s="4" t="inlineStr">
        <is>
          <t>OBSERVAÇÃO</t>
        </is>
      </c>
    </row>
    <row r="6">
      <c r="A6" s="5" t="inlineStr">
        <is>
          <t>Área construída</t>
        </is>
      </c>
      <c r="B6" s="6" t="n">
        <v>183</v>
      </c>
      <c r="C6" s="5" t="inlineStr">
        <is>
          <t>m²</t>
        </is>
      </c>
      <c r="D6" s="7" t="inlineStr">
        <is>
          <t>térreo 75 + garagem 27,5 + superior 62 + extensão 18</t>
        </is>
      </c>
    </row>
    <row r="7">
      <c r="A7" s="5" t="inlineStr">
        <is>
          <t>Estimativa — faixa baixa</t>
        </is>
      </c>
      <c r="B7" s="8">
        <f>SUM(Etapas!C3:C15)</f>
        <v/>
      </c>
      <c r="C7" s="5" t="inlineStr"/>
      <c r="D7" s="7" t="inlineStr">
        <is>
          <t>soma das 13 etapas</t>
        </is>
      </c>
    </row>
    <row r="8">
      <c r="A8" s="5" t="inlineStr">
        <is>
          <t>Estimativa — faixa alta</t>
        </is>
      </c>
      <c r="B8" s="8">
        <f>SUM(Etapas!D3:D15)</f>
        <v/>
      </c>
      <c r="C8" s="5" t="inlineStr"/>
      <c r="D8" s="7" t="inlineStr">
        <is>
          <t>soma das 13 etapas</t>
        </is>
      </c>
    </row>
    <row r="9">
      <c r="A9" s="5" t="inlineStr">
        <is>
          <t>Custo/m² — baixo</t>
        </is>
      </c>
      <c r="B9" s="8">
        <f>B7/B6</f>
        <v/>
      </c>
      <c r="C9" s="5" t="inlineStr"/>
      <c r="D9" s="7" t="inlineStr">
        <is>
          <t>referência CUB-SP R8-N: R$ 2.129,86</t>
        </is>
      </c>
    </row>
    <row r="10">
      <c r="A10" s="5" t="inlineStr">
        <is>
          <t>Custo/m² — alto</t>
        </is>
      </c>
      <c r="B10" s="8">
        <f>B8/B6</f>
        <v/>
      </c>
      <c r="C10" s="5" t="inlineStr"/>
      <c r="D10" s="7" t="inlineStr">
        <is>
          <t>diferença = sistemas premium (bomba de calor, automação, resinados)</t>
        </is>
      </c>
    </row>
    <row r="11">
      <c r="A11" s="5" t="inlineStr">
        <is>
          <t>Total cotado/contratado</t>
        </is>
      </c>
      <c r="B11" s="8">
        <f>SUM(Cotações!K2:K2)</f>
        <v/>
      </c>
      <c r="C11" s="5" t="inlineStr"/>
      <c r="D11" s="7" t="inlineStr">
        <is>
          <t>soma de tudo lançado no site</t>
        </is>
      </c>
    </row>
    <row r="12">
      <c r="A12" s="5" t="inlineStr">
        <is>
          <t xml:space="preserve">  ├ material</t>
        </is>
      </c>
      <c r="B12" s="8">
        <f>SUMIF(Cotações!C2:C2,"&lt;&gt;mão de obra",Cotações!K2:K2)</f>
        <v/>
      </c>
      <c r="C12" s="5" t="inlineStr"/>
      <c r="D12" s="7" t="inlineStr"/>
    </row>
    <row r="13">
      <c r="A13" s="5" t="inlineStr">
        <is>
          <t xml:space="preserve">  └ mão de obra</t>
        </is>
      </c>
      <c r="B13" s="8">
        <f>SUMIF(Cotações!C2:C2,"mão de obra",Cotações!K2:K2)</f>
        <v/>
      </c>
      <c r="C13" s="5" t="inlineStr"/>
      <c r="D13" s="7" t="inlineStr">
        <is>
          <t>empreiteiros/equipes cotados por etapa</t>
        </is>
      </c>
    </row>
    <row r="14">
      <c r="A14" s="5" t="inlineStr">
        <is>
          <t>Custo real informado</t>
        </is>
      </c>
      <c r="B14" s="8">
        <f>SUM(Etapas!I3:I15)</f>
        <v/>
      </c>
      <c r="C14" s="5" t="inlineStr"/>
      <c r="D14" s="7" t="inlineStr">
        <is>
          <t>digitado na aba Etapas do site</t>
        </is>
      </c>
    </row>
    <row r="15">
      <c r="A15" s="5" t="inlineStr">
        <is>
          <t>Cotações registradas</t>
        </is>
      </c>
      <c r="B15" s="6">
        <f>COUNTA(Cotações!A2:A2)</f>
        <v/>
      </c>
      <c r="C15" s="5" t="inlineStr"/>
      <c r="D15" s="7" t="inlineStr">
        <is>
          <t>cada lançamento = 1 commit no repositório</t>
        </is>
      </c>
    </row>
    <row r="16">
      <c r="A16" s="5" t="inlineStr">
        <is>
          <t>Avanço geral (ponderado por custo)</t>
        </is>
      </c>
      <c r="B16" s="9">
        <f>IFERROR(SUMPRODUCT(Etapas!H3:H15,Etapas!E3:E15)/SUM(Etapas!E3:E15),0)</f>
        <v/>
      </c>
      <c r="C16" s="5" t="inlineStr"/>
      <c r="D16" s="7" t="inlineStr">
        <is>
          <t>ponderado pela média da faixa de cada etapa</t>
        </is>
      </c>
    </row>
    <row r="17">
      <c r="A17" s="5" t="inlineStr">
        <is>
          <t>Etapas concluídas</t>
        </is>
      </c>
      <c r="B17" s="6">
        <f>COUNTIF(Etapas!G3:G15,"concluída")</f>
        <v/>
      </c>
      <c r="C17" s="5" t="inlineStr">
        <is>
          <t>de 13</t>
        </is>
      </c>
      <c r="D17" s="7" t="inlineStr"/>
    </row>
    <row r="19">
      <c r="A19" s="10" t="inlineStr">
        <is>
          <t>SISTEMA CONSTRUTIVO (revisão atual)</t>
        </is>
      </c>
    </row>
    <row r="20" ht="24" customHeight="1">
      <c r="A20" s="11" t="inlineStr">
        <is>
          <t>Paredes estruturais</t>
        </is>
      </c>
      <c r="B20" s="12" t="inlineStr">
        <is>
          <t>Monolev ~320 m² líquidos — perímetro + estruturais do térreo (divisa da garagem, testada)</t>
        </is>
      </c>
    </row>
    <row r="21" ht="24" customHeight="1">
      <c r="A21" s="11" t="inlineStr">
        <is>
          <t>Divisórias em Lightwall</t>
        </is>
      </c>
      <c r="B21" s="12" t="inlineStr">
        <is>
          <t>Lightwall 2P 90 mm ~100 m²: todo o pav. superior (conceito mezanino) + caixas do lavabo e do banheiro do térreo — nenhuma delas é estrutural</t>
        </is>
      </c>
    </row>
    <row r="22" ht="24" customHeight="1">
      <c r="A22" s="11" t="inlineStr">
        <is>
          <t>Lajes</t>
        </is>
      </c>
      <c r="B22" s="12" t="inlineStr">
        <is>
          <t>Vigotas + EPS ~86 m² — SÓ pisos (superior, extensão, técnica). Não há laje de forro.</t>
        </is>
      </c>
    </row>
    <row r="23" ht="24" customHeight="1">
      <c r="A23" s="11" t="inlineStr">
        <is>
          <t>Forro</t>
        </is>
      </c>
      <c r="B23" s="12" t="inlineStr">
        <is>
          <t>Madeira acompanhando o telhado ~45 m² (mezanino + vão duplo) · gesso+EPS nivelado ~47 m² (demais)</t>
        </is>
      </c>
    </row>
    <row r="24" ht="24" customHeight="1">
      <c r="A24" s="11" t="inlineStr">
        <is>
          <t>Cobertura</t>
        </is>
      </c>
      <c r="B24" s="12" t="inlineStr">
        <is>
          <t>3 treliças galvanizadas a fogo @3,25 m (banzos paralelos h=0,40, degrau triangulado) + terças Ue 100 · ~1,0 t</t>
        </is>
      </c>
    </row>
    <row r="25" ht="24" customHeight="1">
      <c r="A25" s="11" t="inlineStr">
        <is>
          <t>Faixa NE (1,20)</t>
        </is>
      </c>
      <c r="B25" s="12" t="inlineStr">
        <is>
          <t>Da fachada ao fundo: portinha (0,80) · Luz 1 = jardim de inverno c/ parede verde e janelão 3,50 (4,10) · PAREDE CEGA · Luz 2 = varal (4,10) · lavanderia + área técnica acima (4,00, único trecho coberto até a divisa)</t>
        </is>
      </c>
    </row>
    <row r="26" ht="24" customHeight="1">
      <c r="A26" s="11" t="inlineStr">
        <is>
          <t>Fundação</t>
        </is>
      </c>
      <c r="B26" s="12" t="inlineStr">
        <is>
          <t>Radier ~103 m²</t>
        </is>
      </c>
    </row>
    <row r="27" ht="24" customHeight="1">
      <c r="A27" s="11" t="inlineStr">
        <is>
          <t>Exaustão da ilha</t>
        </is>
      </c>
      <c r="B27" s="12" t="inlineStr">
        <is>
          <t>Plenum no forro c/ 2 frestas lineares de 30 mm + luz integrada · 1.100 m³/h · duto Ø250 · motor inline REMOTO na área técnica (32-38 dB(A) na cozinha) · liga sozinho pelo consumo do circuito do Invisacook</t>
        </is>
      </c>
    </row>
    <row r="28" ht="24" customHeight="1">
      <c r="A28" s="11" t="inlineStr">
        <is>
          <t>Área técnica</t>
        </is>
      </c>
      <c r="B28" s="12" t="inlineStr">
        <is>
          <t>ABERTA (sem porta, só portão-gradil) — garante ar para a bomba de calor · acesso por escada marinheiro na parede da Luz 2 · equipamentos em IP65</t>
        </is>
      </c>
    </row>
    <row r="29" ht="24" customHeight="1">
      <c r="A29" s="10" t="inlineStr">
        <is>
          <t>COMO USAR</t>
        </is>
      </c>
      <c r="B29" s="12" t="inlineStr">
        <is>
          <t>Calhas retangulares 150×100 nas 2 bordas longas (i=0,5% p/ o fundo) + 2 condutores Ø100 · I=172 mm/h · 108 m² de captação · rufos em chapa galv. #24</t>
        </is>
      </c>
    </row>
    <row r="30" ht="24" customHeight="1">
      <c r="A30" s="13" t="inlineStr">
        <is>
          <t>Esta planilha é um EXPORT do painel de obra e é regerada a cada cotação lançada no site. Edições feitas aqui serão perdidas na próxima geração — lance tudo pelo site (pvizioli.github.io/projeto_casa_pedro) para que vire commit e volte para cá.</t>
        </is>
      </c>
    </row>
    <row r="31" ht="24" customHeight="1"/>
    <row r="32" ht="24" customHeight="1"/>
    <row r="33" ht="24" customHeight="1">
      <c r="A33" s="11" t="inlineStr">
        <is>
          <t>Térreo — faixa SO</t>
        </is>
      </c>
      <c r="B33" s="12" t="inlineStr">
        <is>
          <t>Lavabo 1,50 × 1,50 no canto da garagem c/ o corredor (janela p/ o corredor) · despensa (1,50 × 1,10) + bancada + banheiro completo (1,50 × 2,50, sem box) no fundo, porta ÚNICA p/ a área gourmet</t>
        </is>
      </c>
    </row>
  </sheetData>
  <mergeCells count="15">
    <mergeCell ref="B33:D33"/>
    <mergeCell ref="B28:D28"/>
    <mergeCell ref="A30:D32"/>
    <mergeCell ref="B31:D31"/>
    <mergeCell ref="B23:D23"/>
    <mergeCell ref="B22:D22"/>
    <mergeCell ref="B32:D32"/>
    <mergeCell ref="B26:D26"/>
    <mergeCell ref="B27:D27"/>
    <mergeCell ref="B21:D21"/>
    <mergeCell ref="B30:D30"/>
    <mergeCell ref="B29:D29"/>
    <mergeCell ref="B25:D25"/>
    <mergeCell ref="B24:D24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2" customWidth="1" min="4" max="4"/>
    <col width="12" customWidth="1" min="5" max="5"/>
    <col width="8" customWidth="1" min="6" max="6"/>
    <col width="12" customWidth="1" min="7" max="7"/>
    <col width="8" customWidth="1" min="8" max="8"/>
    <col width="12" customWidth="1" min="9" max="9"/>
    <col width="14" customWidth="1" min="10" max="10"/>
    <col width="15" customWidth="1" min="11" max="11"/>
    <col width="13" customWidth="1" min="12" max="12"/>
    <col width="12" customWidth="1" min="13" max="13"/>
    <col width="50" customWidth="1" min="14" max="14"/>
  </cols>
  <sheetData>
    <row r="1">
      <c r="A1" s="14" t="inlineStr">
        <is>
          <t>ETAPAS DA OBRA — 13 FASES</t>
        </is>
      </c>
    </row>
    <row r="2" ht="26" customHeight="1">
      <c r="A2" s="15" t="inlineStr">
        <is>
          <t>#</t>
        </is>
      </c>
      <c r="B2" s="15" t="inlineStr">
        <is>
          <t>Etapa</t>
        </is>
      </c>
      <c r="C2" s="15" t="inlineStr">
        <is>
          <t>Estim. baixa</t>
        </is>
      </c>
      <c r="D2" s="15" t="inlineStr">
        <is>
          <t>Estim. alta</t>
        </is>
      </c>
      <c r="E2" s="15" t="inlineStr">
        <is>
          <t>Média</t>
        </is>
      </c>
      <c r="F2" s="15" t="inlineStr">
        <is>
          <t>% do total</t>
        </is>
      </c>
      <c r="G2" s="15" t="inlineStr">
        <is>
          <t>Status</t>
        </is>
      </c>
      <c r="H2" s="15" t="inlineStr">
        <is>
          <t>Avanço</t>
        </is>
      </c>
      <c r="I2" s="15" t="inlineStr">
        <is>
          <t>Custo real</t>
        </is>
      </c>
      <c r="J2" s="15" t="inlineStr">
        <is>
          <t>Cotado material</t>
        </is>
      </c>
      <c r="K2" s="15" t="inlineStr">
        <is>
          <t>Cotado mão de obra</t>
        </is>
      </c>
      <c r="L2" s="15" t="inlineStr">
        <is>
          <t>Cotado total</t>
        </is>
      </c>
      <c r="M2" s="15" t="inlineStr">
        <is>
          <t>Δ vs. alta</t>
        </is>
      </c>
      <c r="N2" s="15" t="inlineStr">
        <is>
          <t>Observação</t>
        </is>
      </c>
    </row>
    <row r="3">
      <c r="A3" s="16" t="n">
        <v>1</v>
      </c>
      <c r="B3" s="17" t="inlineStr">
        <is>
          <t>Projetos, sondagem e aprovações</t>
        </is>
      </c>
      <c r="C3" s="18" t="n">
        <v>34000</v>
      </c>
      <c r="D3" s="18" t="n">
        <v>78000</v>
      </c>
      <c r="E3" s="19">
        <f>(C3+D3)/2</f>
        <v/>
      </c>
      <c r="F3" s="20">
        <f>IFERROR(E3/$E$16,0)</f>
        <v/>
      </c>
      <c r="G3" s="16" t="inlineStr">
        <is>
          <t>não iniciada</t>
        </is>
      </c>
      <c r="H3" s="20" t="n">
        <v>0</v>
      </c>
      <c r="I3" s="19" t="n">
        <v>0</v>
      </c>
      <c r="J3" s="19">
        <f>SUMIFS(Cotações!$K$2:$K$2,Cotações!$G$2:$G$2,$A3,Cotações!$C$2:$C$2,"&lt;&gt;mão de obra")</f>
        <v/>
      </c>
      <c r="K3" s="18">
        <f>SUMIFS(Cotações!$K$2:$K$2,Cotações!$G$2:$G$2,$A3,Cotações!$C$2:$C$2,"mão de obra")</f>
        <v/>
      </c>
      <c r="L3" s="18">
        <f>J3+K3</f>
        <v/>
      </c>
      <c r="M3" s="19">
        <f>IF(L3=0,"",D3-L3)</f>
        <v/>
      </c>
      <c r="N3" s="16" t="inlineStr">
        <is>
          <t>arquitetônico (legal+executivo) 12–27k · estrutural 5–12k · complementares 5–10k · AVAC 1,5–3k · SPT 2–4k · ART/RRT 1–2k · aprovações 1,5–4k · RT de execução 8–25k (10 meses) — detalhado na categoria Projetos e Serviços Técnicos</t>
        </is>
      </c>
    </row>
    <row r="4">
      <c r="A4" s="21" t="n">
        <v>2</v>
      </c>
      <c r="B4" s="22" t="inlineStr">
        <is>
          <t>Fundação (radier 103 m²) + muro de divisa 210 m²</t>
        </is>
      </c>
      <c r="C4" s="23" t="n">
        <v>50500</v>
      </c>
      <c r="D4" s="23" t="n">
        <v>78500</v>
      </c>
      <c r="E4" s="24">
        <f>(C4+D4)/2</f>
        <v/>
      </c>
      <c r="F4" s="25">
        <f>IFERROR(E4/$E$16,0)</f>
        <v/>
      </c>
      <c r="G4" s="21" t="inlineStr">
        <is>
          <t>não iniciada</t>
        </is>
      </c>
      <c r="H4" s="25" t="n">
        <v>0</v>
      </c>
      <c r="I4" s="24" t="n">
        <v>0</v>
      </c>
      <c r="J4" s="24">
        <f>SUMIFS(Cotações!$K$2:$K$2,Cotações!$G$2:$G$2,$A4,Cotações!$C$2:$C$2,"&lt;&gt;mão de obra")</f>
        <v/>
      </c>
      <c r="K4" s="23">
        <f>SUMIFS(Cotações!$K$2:$K$2,Cotações!$G$2:$G$2,$A4,Cotações!$C$2:$C$2,"mão de obra")</f>
        <v/>
      </c>
      <c r="L4" s="23">
        <f>J4+K4</f>
        <v/>
      </c>
      <c r="M4" s="24">
        <f>IF(L4=0,"",D4-L4)</f>
        <v/>
      </c>
      <c r="N4" s="21" t="inlineStr">
        <is>
          <t>radier inclui eletroduto da ilha e hidráulica embutida · muro pré-moldado (placa) 210 m² (2×30,00 laterais + 10,00 fundo, h=3,00) — sistema mais econômico do mercado, ~30% mais barato que alvenaria convencional</t>
        </is>
      </c>
    </row>
    <row r="5">
      <c r="A5" s="16" t="n">
        <v>3</v>
      </c>
      <c r="B5" s="17" t="inlineStr">
        <is>
          <t>Estrutura metálica</t>
        </is>
      </c>
      <c r="C5" s="18" t="n">
        <v>28000</v>
      </c>
      <c r="D5" s="18" t="n">
        <v>42000</v>
      </c>
      <c r="E5" s="19">
        <f>(C5+D5)/2</f>
        <v/>
      </c>
      <c r="F5" s="20">
        <f>IFERROR(E5/$E$16,0)</f>
        <v/>
      </c>
      <c r="G5" s="16" t="inlineStr">
        <is>
          <t>não iniciada</t>
        </is>
      </c>
      <c r="H5" s="20" t="n">
        <v>0</v>
      </c>
      <c r="I5" s="19" t="n">
        <v>0</v>
      </c>
      <c r="J5" s="19">
        <f>SUMIFS(Cotações!$K$2:$K$2,Cotações!$G$2:$G$2,$A5,Cotações!$C$2:$C$2,"&lt;&gt;mão de obra")</f>
        <v/>
      </c>
      <c r="K5" s="18">
        <f>SUMIFS(Cotações!$K$2:$K$2,Cotações!$G$2:$G$2,$A5,Cotações!$C$2:$C$2,"mão de obra")</f>
        <v/>
      </c>
      <c r="L5" s="18">
        <f>J5+K5</f>
        <v/>
      </c>
      <c r="M5" s="19">
        <f>IF(L5=0,"",D5-L5)</f>
        <v/>
      </c>
      <c r="N5" s="16" t="inlineStr">
        <is>
          <t>vigas (portão, testada 7,30, balanço sacada) + escada aberta</t>
        </is>
      </c>
    </row>
    <row r="6">
      <c r="A6" s="21" t="n">
        <v>4</v>
      </c>
      <c r="B6" s="22" t="inlineStr">
        <is>
          <t>Paredes: Monolev (estrutural) + divisórias Lightwall</t>
        </is>
      </c>
      <c r="C6" s="23" t="n">
        <v>110000</v>
      </c>
      <c r="D6" s="23" t="n">
        <v>156000</v>
      </c>
      <c r="E6" s="24">
        <f>(C6+D6)/2</f>
        <v/>
      </c>
      <c r="F6" s="25">
        <f>IFERROR(E6/$E$16,0)</f>
        <v/>
      </c>
      <c r="G6" s="21" t="inlineStr">
        <is>
          <t>não iniciada</t>
        </is>
      </c>
      <c r="H6" s="25" t="n">
        <v>0</v>
      </c>
      <c r="I6" s="24" t="n">
        <v>0</v>
      </c>
      <c r="J6" s="24">
        <f>SUMIFS(Cotações!$K$2:$K$2,Cotações!$G$2:$G$2,$A6,Cotações!$C$2:$C$2,"&lt;&gt;mão de obra")</f>
        <v/>
      </c>
      <c r="K6" s="23">
        <f>SUMIFS(Cotações!$K$2:$K$2,Cotações!$G$2:$G$2,$A6,Cotações!$C$2:$C$2,"mão de obra")</f>
        <v/>
      </c>
      <c r="L6" s="23">
        <f>J6+K6</f>
        <v/>
      </c>
      <c r="M6" s="24">
        <f>IF(L6=0,"",D6-L6)</f>
        <v/>
      </c>
      <c r="N6" s="21" t="inlineStr">
        <is>
          <t>Monolev ~340 m² líq. (perímetro/estruturais + térreo) · divisórias internas do superior ~80 m² em Lightwall 2P 90 mm (conceito mezanino: só o perímetro segura o telhado) · juntas dissimilares Monolev↔Lightwall c/ tela + basecoat</t>
        </is>
      </c>
    </row>
    <row r="7">
      <c r="A7" s="16" t="n">
        <v>5</v>
      </c>
      <c r="B7" s="17" t="inlineStr">
        <is>
          <t>Lajes de PISO (superior + sacada + técnica)</t>
        </is>
      </c>
      <c r="C7" s="18" t="n">
        <v>19000</v>
      </c>
      <c r="D7" s="18" t="n">
        <v>26000</v>
      </c>
      <c r="E7" s="19">
        <f>(C7+D7)/2</f>
        <v/>
      </c>
      <c r="F7" s="20">
        <f>IFERROR(E7/$E$16,0)</f>
        <v/>
      </c>
      <c r="G7" s="16" t="inlineStr">
        <is>
          <t>não iniciada</t>
        </is>
      </c>
      <c r="H7" s="20" t="n">
        <v>0</v>
      </c>
      <c r="I7" s="19" t="n">
        <v>0</v>
      </c>
      <c r="J7" s="19">
        <f>SUMIFS(Cotações!$K$2:$K$2,Cotações!$G$2:$G$2,$A7,Cotações!$C$2:$C$2,"&lt;&gt;mão de obra")</f>
        <v/>
      </c>
      <c r="K7" s="18">
        <f>SUMIFS(Cotações!$K$2:$K$2,Cotações!$G$2:$G$2,$A7,Cotações!$C$2:$C$2,"mão de obra")</f>
        <v/>
      </c>
      <c r="L7" s="18">
        <f>J7+K7</f>
        <v/>
      </c>
      <c r="M7" s="19">
        <f>IF(L7=0,"",D7-L7)</f>
        <v/>
      </c>
      <c r="N7" s="16" t="inlineStr">
        <is>
          <t>86 m² vigotas + EPS + capa — apenas pisos estruturais; NÃO há laje de forro</t>
        </is>
      </c>
    </row>
    <row r="8">
      <c r="A8" s="21" t="n">
        <v>6</v>
      </c>
      <c r="B8" s="22" t="inlineStr">
        <is>
          <t>Cobertura + lanternim</t>
        </is>
      </c>
      <c r="C8" s="23" t="n">
        <v>40000</v>
      </c>
      <c r="D8" s="23" t="n">
        <v>60000</v>
      </c>
      <c r="E8" s="24">
        <f>(C8+D8)/2</f>
        <v/>
      </c>
      <c r="F8" s="25">
        <f>IFERROR(E8/$E$16,0)</f>
        <v/>
      </c>
      <c r="G8" s="21" t="inlineStr">
        <is>
          <t>não iniciada</t>
        </is>
      </c>
      <c r="H8" s="25" t="n">
        <v>0</v>
      </c>
      <c r="I8" s="24" t="n">
        <v>0</v>
      </c>
      <c r="J8" s="24">
        <f>SUMIFS(Cotações!$K$2:$K$2,Cotações!$G$2:$G$2,$A8,Cotações!$C$2:$C$2,"&lt;&gt;mão de obra")</f>
        <v/>
      </c>
      <c r="K8" s="23">
        <f>SUMIFS(Cotações!$K$2:$K$2,Cotações!$G$2:$G$2,$A8,Cotações!$C$2:$C$2,"mão de obra")</f>
        <v/>
      </c>
      <c r="L8" s="23">
        <f>J8+K8</f>
        <v/>
      </c>
      <c r="M8" s="24">
        <f>IF(L8=0,"",D8-L8)</f>
        <v/>
      </c>
      <c r="N8" s="21" t="inlineStr">
        <is>
          <t>estrutura, telha sanduíche, vidro/básculas, rufos e calhas</t>
        </is>
      </c>
    </row>
    <row r="9">
      <c r="A9" s="16" t="n">
        <v>7</v>
      </c>
      <c r="B9" s="17" t="inlineStr">
        <is>
          <t>Esquadrias e vidros</t>
        </is>
      </c>
      <c r="C9" s="18" t="n">
        <v>58000</v>
      </c>
      <c r="D9" s="18" t="n">
        <v>90000</v>
      </c>
      <c r="E9" s="19">
        <f>(C9+D9)/2</f>
        <v/>
      </c>
      <c r="F9" s="20">
        <f>IFERROR(E9/$E$16,0)</f>
        <v/>
      </c>
      <c r="G9" s="16" t="inlineStr">
        <is>
          <t>não iniciada</t>
        </is>
      </c>
      <c r="H9" s="20" t="n">
        <v>0</v>
      </c>
      <c r="I9" s="19" t="n">
        <v>0</v>
      </c>
      <c r="J9" s="19">
        <f>SUMIFS(Cotações!$K$2:$K$2,Cotações!$G$2:$G$2,$A9,Cotações!$C$2:$C$2,"&lt;&gt;mão de obra")</f>
        <v/>
      </c>
      <c r="K9" s="18">
        <f>SUMIFS(Cotações!$K$2:$K$2,Cotações!$G$2:$G$2,$A9,Cotações!$C$2:$C$2,"mão de obra")</f>
        <v/>
      </c>
      <c r="L9" s="18">
        <f>J9+K9</f>
        <v/>
      </c>
      <c r="M9" s="19">
        <f>IF(L9=0,"",D9-L9)</f>
        <v/>
      </c>
      <c r="N9" s="16" t="inlineStr">
        <is>
          <t>inclui janelão espelhado, porta balcão 3,5 m e da suíte 7 m</t>
        </is>
      </c>
    </row>
    <row r="10">
      <c r="A10" s="21" t="n">
        <v>8</v>
      </c>
      <c r="B10" s="22" t="inlineStr">
        <is>
          <t>Hidráulica + água quente + prep. PV</t>
        </is>
      </c>
      <c r="C10" s="23" t="n">
        <v>33000</v>
      </c>
      <c r="D10" s="23" t="n">
        <v>52000</v>
      </c>
      <c r="E10" s="24">
        <f>(C10+D10)/2</f>
        <v/>
      </c>
      <c r="F10" s="25">
        <f>IFERROR(E10/$E$16,0)</f>
        <v/>
      </c>
      <c r="G10" s="21" t="inlineStr">
        <is>
          <t>não iniciada</t>
        </is>
      </c>
      <c r="H10" s="25" t="n">
        <v>0</v>
      </c>
      <c r="I10" s="24" t="n">
        <v>0</v>
      </c>
      <c r="J10" s="24">
        <f>SUMIFS(Cotações!$K$2:$K$2,Cotações!$G$2:$G$2,$A10,Cotações!$C$2:$C$2,"&lt;&gt;mão de obra")</f>
        <v/>
      </c>
      <c r="K10" s="23">
        <f>SUMIFS(Cotações!$K$2:$K$2,Cotações!$G$2:$G$2,$A10,Cotações!$C$2:$C$2,"mão de obra")</f>
        <v/>
      </c>
      <c r="L10" s="23">
        <f>J10+K10</f>
        <v/>
      </c>
      <c r="M10" s="24">
        <f>IF(L10=0,"",D10-L10)</f>
        <v/>
      </c>
      <c r="N10" s="21" t="inlineStr">
        <is>
          <t>bomba de calor, boiler 400 L, pressurização, PEX/manifold</t>
        </is>
      </c>
    </row>
    <row r="11">
      <c r="A11" s="16" t="n">
        <v>9</v>
      </c>
      <c r="B11" s="17" t="inlineStr">
        <is>
          <t>Elétrica + automação + rede</t>
        </is>
      </c>
      <c r="C11" s="18" t="n">
        <v>45000</v>
      </c>
      <c r="D11" s="18" t="n">
        <v>70000</v>
      </c>
      <c r="E11" s="19">
        <f>(C11+D11)/2</f>
        <v/>
      </c>
      <c r="F11" s="20">
        <f>IFERROR(E11/$E$16,0)</f>
        <v/>
      </c>
      <c r="G11" s="16" t="inlineStr">
        <is>
          <t>não iniciada</t>
        </is>
      </c>
      <c r="H11" s="20" t="n">
        <v>0</v>
      </c>
      <c r="I11" s="19" t="n">
        <v>0</v>
      </c>
      <c r="J11" s="19">
        <f>SUMIFS(Cotações!$K$2:$K$2,Cotações!$G$2:$G$2,$A11,Cotações!$C$2:$C$2,"&lt;&gt;mão de obra")</f>
        <v/>
      </c>
      <c r="K11" s="18">
        <f>SUMIFS(Cotações!$K$2:$K$2,Cotações!$G$2:$G$2,$A11,Cotações!$C$2:$C$2,"mão de obra")</f>
        <v/>
      </c>
      <c r="L11" s="18">
        <f>J11+K11</f>
        <v/>
      </c>
      <c r="M11" s="19">
        <f>IF(L11=0,"",D11-L11)</f>
        <v/>
      </c>
      <c r="N11" s="16" t="inlineStr">
        <is>
          <t>trifásico, Home Assistant, câmeras, 220 V nos cômodos</t>
        </is>
      </c>
    </row>
    <row r="12">
      <c r="A12" s="21" t="n">
        <v>10</v>
      </c>
      <c r="B12" s="22" t="inlineStr">
        <is>
          <t>Climatização</t>
        </is>
      </c>
      <c r="C12" s="23" t="n">
        <v>18000</v>
      </c>
      <c r="D12" s="23" t="n">
        <v>28000</v>
      </c>
      <c r="E12" s="24">
        <f>(C12+D12)/2</f>
        <v/>
      </c>
      <c r="F12" s="25">
        <f>IFERROR(E12/$E$16,0)</f>
        <v/>
      </c>
      <c r="G12" s="21" t="inlineStr">
        <is>
          <t>não iniciada</t>
        </is>
      </c>
      <c r="H12" s="25" t="n">
        <v>0</v>
      </c>
      <c r="I12" s="24" t="n">
        <v>0</v>
      </c>
      <c r="J12" s="24">
        <f>SUMIFS(Cotações!$K$2:$K$2,Cotações!$G$2:$G$2,$A12,Cotações!$C$2:$C$2,"&lt;&gt;mão de obra")</f>
        <v/>
      </c>
      <c r="K12" s="23">
        <f>SUMIFS(Cotações!$K$2:$K$2,Cotações!$G$2:$G$2,$A12,Cotações!$C$2:$C$2,"mão de obra")</f>
        <v/>
      </c>
      <c r="L12" s="23">
        <f>J12+K12</f>
        <v/>
      </c>
      <c r="M12" s="24">
        <f>IF(L12=0,"",D12-L12)</f>
        <v/>
      </c>
      <c r="N12" s="21" t="inlineStr">
        <is>
          <t>multi-split tri + split sala + destratificador, R-32</t>
        </is>
      </c>
    </row>
    <row r="13">
      <c r="A13" s="16" t="n">
        <v>11</v>
      </c>
      <c r="B13" s="17" t="inlineStr">
        <is>
          <t>Acabamentos resinados (sem porcelanato)</t>
        </is>
      </c>
      <c r="C13" s="18" t="n">
        <v>48000</v>
      </c>
      <c r="D13" s="18" t="n">
        <v>82000</v>
      </c>
      <c r="E13" s="19">
        <f>(C13+D13)/2</f>
        <v/>
      </c>
      <c r="F13" s="20">
        <f>IFERROR(E13/$E$16,0)</f>
        <v/>
      </c>
      <c r="G13" s="16" t="inlineStr">
        <is>
          <t>não iniciada</t>
        </is>
      </c>
      <c r="H13" s="20" t="n">
        <v>0</v>
      </c>
      <c r="I13" s="19" t="n">
        <v>0</v>
      </c>
      <c r="J13" s="19">
        <f>SUMIFS(Cotações!$K$2:$K$2,Cotações!$G$2:$G$2,$A13,Cotações!$C$2:$C$2,"&lt;&gt;mão de obra")</f>
        <v/>
      </c>
      <c r="K13" s="18">
        <f>SUMIFS(Cotações!$K$2:$K$2,Cotações!$G$2:$G$2,$A13,Cotações!$C$2:$C$2,"mão de obra")</f>
        <v/>
      </c>
      <c r="L13" s="18">
        <f>J13+K13</f>
        <v/>
      </c>
      <c r="M13" s="19">
        <f>IF(L13=0,"",D13-L13)</f>
        <v/>
      </c>
      <c r="N13" s="16" t="inlineStr">
        <is>
          <t>resinados + carpete de pedra + microcimento · forro gesso+EPS ~47 m² (quartos/copa/banheiros/corredor) · forro de MADEIRA ~45 m² acompanhando o telhado (mezanino + vão duplo)</t>
        </is>
      </c>
    </row>
    <row r="14">
      <c r="A14" s="21" t="n">
        <v>12</v>
      </c>
      <c r="B14" s="22" t="inlineStr">
        <is>
          <t>Gourmet (Invisacook, bancada, churrasqueira)</t>
        </is>
      </c>
      <c r="C14" s="23" t="n">
        <v>20000</v>
      </c>
      <c r="D14" s="23" t="n">
        <v>33000</v>
      </c>
      <c r="E14" s="24">
        <f>(C14+D14)/2</f>
        <v/>
      </c>
      <c r="F14" s="25">
        <f>IFERROR(E14/$E$16,0)</f>
        <v/>
      </c>
      <c r="G14" s="21" t="inlineStr">
        <is>
          <t>não iniciada</t>
        </is>
      </c>
      <c r="H14" s="25" t="n">
        <v>0</v>
      </c>
      <c r="I14" s="24" t="n">
        <v>0</v>
      </c>
      <c r="J14" s="24">
        <f>SUMIFS(Cotações!$K$2:$K$2,Cotações!$G$2:$G$2,$A14,Cotações!$C$2:$C$2,"&lt;&gt;mão de obra")</f>
        <v/>
      </c>
      <c r="K14" s="23">
        <f>SUMIFS(Cotações!$K$2:$K$2,Cotações!$G$2:$G$2,$A14,Cotações!$C$2:$C$2,"mão de obra")</f>
        <v/>
      </c>
      <c r="L14" s="23">
        <f>J14+K14</f>
        <v/>
      </c>
      <c r="M14" s="24">
        <f>IF(L14=0,"",D14-L14)</f>
        <v/>
      </c>
      <c r="N14" s="21" t="inlineStr">
        <is>
          <t>porcelanato sinterizado, cooktop gás externo</t>
        </is>
      </c>
    </row>
    <row r="15">
      <c r="A15" s="16" t="n">
        <v>13</v>
      </c>
      <c r="B15" s="17" t="inlineStr">
        <is>
          <t>Canteiro, limpeza e imprevistos (~8%)</t>
        </is>
      </c>
      <c r="C15" s="18" t="n">
        <v>30000</v>
      </c>
      <c r="D15" s="18" t="n">
        <v>50000</v>
      </c>
      <c r="E15" s="19">
        <f>(C15+D15)/2</f>
        <v/>
      </c>
      <c r="F15" s="20">
        <f>IFERROR(E15/$E$16,0)</f>
        <v/>
      </c>
      <c r="G15" s="16" t="inlineStr">
        <is>
          <t>não iniciada</t>
        </is>
      </c>
      <c r="H15" s="20" t="n">
        <v>0</v>
      </c>
      <c r="I15" s="19" t="n">
        <v>0</v>
      </c>
      <c r="J15" s="19">
        <f>SUMIFS(Cotações!$K$2:$K$2,Cotações!$G$2:$G$2,$A15,Cotações!$C$2:$C$2,"&lt;&gt;mão de obra")</f>
        <v/>
      </c>
      <c r="K15" s="18">
        <f>SUMIFS(Cotações!$K$2:$K$2,Cotações!$G$2:$G$2,$A15,Cotações!$C$2:$C$2,"mão de obra")</f>
        <v/>
      </c>
      <c r="L15" s="18">
        <f>J15+K15</f>
        <v/>
      </c>
      <c r="M15" s="19">
        <f>IF(L15=0,"",D15-L15)</f>
        <v/>
      </c>
      <c r="N15" s="16" t="inlineStr">
        <is>
          <t>reserva técnica</t>
        </is>
      </c>
    </row>
    <row r="16">
      <c r="B16" s="26" t="inlineStr">
        <is>
          <t>TOTAL</t>
        </is>
      </c>
      <c r="C16" s="27">
        <f>SUM(C3:C15)</f>
        <v/>
      </c>
      <c r="D16" s="27">
        <f>SUM(D3:D15)</f>
        <v/>
      </c>
      <c r="E16" s="27">
        <f>SUM(E3:E15)</f>
        <v/>
      </c>
      <c r="F16" s="26" t="inlineStr">
        <is>
          <t>100%</t>
        </is>
      </c>
      <c r="I16" s="27">
        <f>SUM(I3:I15)</f>
        <v/>
      </c>
      <c r="J16" s="27">
        <f>SUM(J3:J15)</f>
        <v/>
      </c>
      <c r="K16" s="27">
        <f>SUM(K3:K15)</f>
        <v/>
      </c>
      <c r="L16" s="27">
        <f>SUM(L3:L15)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2" customWidth="1" min="3" max="3"/>
    <col width="6" customWidth="1" min="4" max="4"/>
    <col width="40" customWidth="1" min="5" max="5"/>
    <col width="42" customWidth="1" min="6" max="6"/>
    <col width="6" customWidth="1" min="7" max="7"/>
    <col width="9" customWidth="1" min="8" max="8"/>
    <col width="10" customWidth="1" min="9" max="9"/>
    <col width="14" customWidth="1" min="10" max="10"/>
    <col width="22" customWidth="1" min="11" max="11"/>
    <col width="13" customWidth="1" min="12" max="12"/>
    <col width="46" customWidth="1" min="13" max="13"/>
  </cols>
  <sheetData>
    <row r="1">
      <c r="A1" s="14" t="inlineStr">
        <is>
          <t>CATÁLOGO DE ITENS COTÁVEIS</t>
        </is>
      </c>
    </row>
    <row r="2">
      <c r="A2" s="28" t="inlineStr">
        <is>
          <t>Base do formulário de cotação do site. Quantidades = memória de cálculo do projeto.</t>
        </is>
      </c>
    </row>
    <row r="3" ht="26" customHeight="1">
      <c r="A3" s="15" t="inlineStr">
        <is>
          <t>ID</t>
        </is>
      </c>
      <c r="B3" s="15" t="inlineStr">
        <is>
          <t>Categoria</t>
        </is>
      </c>
      <c r="C3" s="15" t="inlineStr">
        <is>
          <t>Tipo</t>
        </is>
      </c>
      <c r="D3" s="15" t="inlineStr">
        <is>
          <t>Etapa</t>
        </is>
      </c>
      <c r="E3" s="15" t="inlineStr">
        <is>
          <t>Item</t>
        </is>
      </c>
      <c r="F3" s="15" t="inlineStr">
        <is>
          <t>Especificação</t>
        </is>
      </c>
      <c r="G3" s="15" t="inlineStr">
        <is>
          <t>Un</t>
        </is>
      </c>
      <c r="H3" s="15" t="inlineStr">
        <is>
          <t>Qtde</t>
        </is>
      </c>
      <c r="I3" s="15" t="inlineStr">
        <is>
          <t>Nº cotações</t>
        </is>
      </c>
      <c r="J3" s="15" t="inlineStr">
        <is>
          <t>Melhor preço unit.</t>
        </is>
      </c>
      <c r="K3" s="15" t="inlineStr">
        <is>
          <t>Melhor fornecedor</t>
        </is>
      </c>
      <c r="L3" s="15" t="inlineStr">
        <is>
          <t>Melhor total</t>
        </is>
      </c>
      <c r="M3" s="15" t="inlineStr">
        <is>
          <t>Observação</t>
        </is>
      </c>
    </row>
    <row r="4">
      <c r="A4" s="21" t="inlineStr">
        <is>
          <t>IT001</t>
        </is>
      </c>
      <c r="B4" s="22" t="inlineStr">
        <is>
          <t>Geral / Estrutura</t>
        </is>
      </c>
      <c r="C4" s="22" t="inlineStr">
        <is>
          <t>material</t>
        </is>
      </c>
      <c r="D4" s="22" t="n">
        <v>4</v>
      </c>
      <c r="E4" s="21" t="inlineStr">
        <is>
          <t>Painéis EPS (Monolev) — parede líquida ESTRUTURAL (perímetro + estruturais do térreo)</t>
        </is>
      </c>
      <c r="F4" s="21" t="inlineStr"/>
      <c r="G4" s="21" t="inlineStr">
        <is>
          <t>m²</t>
        </is>
      </c>
      <c r="H4" s="29" t="n">
        <v>320</v>
      </c>
      <c r="I4" s="21">
        <f>COUNTIFS(Cotações!$E$2:$E$2,$A4)</f>
        <v/>
      </c>
      <c r="J4" s="30">
        <f>IF(I4=0,"—",_xlfn.MINIFS(Cotações!$J$2:$J$2,Cotações!$E$2:$E$2,$A4))</f>
        <v/>
      </c>
      <c r="K4" s="22">
        <f>IF(I4=0,"—",IFERROR(INDEX(Cotações!$H$2:$H$2,MATCH(1,INDEX((Cotações!$E$2:$E$2=$A4)*(Cotações!$J$2:$J$2=J4),0),0)),""))</f>
        <v/>
      </c>
      <c r="L4" s="23">
        <f>IF(I4=0,"—",IFERROR(J4*H4,""))</f>
        <v/>
      </c>
      <c r="M4" s="21" t="inlineStr">
        <is>
          <t>divisórias não estruturais (lavabo e banheiro do térreo + todo o superior) migradas p/ Lightwall</t>
        </is>
      </c>
    </row>
    <row r="5">
      <c r="A5" s="16" t="inlineStr">
        <is>
          <t>IT002</t>
        </is>
      </c>
      <c r="B5" s="17" t="inlineStr">
        <is>
          <t>Geral / Estrutura</t>
        </is>
      </c>
      <c r="C5" s="17" t="inlineStr">
        <is>
          <t>material</t>
        </is>
      </c>
      <c r="D5" s="17" t="n">
        <v>4</v>
      </c>
      <c r="E5" s="16" t="inlineStr">
        <is>
          <t>Argamassa projetada estrutural (2 faces)</t>
        </is>
      </c>
      <c r="F5" s="16" t="inlineStr"/>
      <c r="G5" s="16" t="inlineStr">
        <is>
          <t>m²</t>
        </is>
      </c>
      <c r="H5" s="31" t="n">
        <v>640</v>
      </c>
      <c r="I5" s="16">
        <f>COUNTIFS(Cotações!$E$2:$E$2,$A5)</f>
        <v/>
      </c>
      <c r="J5" s="32">
        <f>IF(I5=0,"—",_xlfn.MINIFS(Cotações!$J$2:$J$2,Cotações!$E$2:$E$2,$A5))</f>
        <v/>
      </c>
      <c r="K5" s="17">
        <f>IF(I5=0,"—",IFERROR(INDEX(Cotações!$H$2:$H$2,MATCH(1,INDEX((Cotações!$E$2:$E$2=$A5)*(Cotações!$J$2:$J$2=J5),0),0)),""))</f>
        <v/>
      </c>
      <c r="L5" s="18">
        <f>IF(I5=0,"—",IFERROR(J5*H5,""))</f>
        <v/>
      </c>
      <c r="M5" s="16" t="inlineStr">
        <is>
          <t>2 faces × 320 m²</t>
        </is>
      </c>
    </row>
    <row r="6">
      <c r="A6" s="21" t="inlineStr">
        <is>
          <t>IT003</t>
        </is>
      </c>
      <c r="B6" s="22" t="inlineStr">
        <is>
          <t>Geral / Estrutura</t>
        </is>
      </c>
      <c r="C6" s="22" t="inlineStr">
        <is>
          <t>material</t>
        </is>
      </c>
      <c r="D6" s="22" t="n">
        <v>4</v>
      </c>
      <c r="E6" s="21" t="inlineStr">
        <is>
          <t>Telas de reforço e acessórios de canto — verba complementar</t>
        </is>
      </c>
      <c r="F6" s="21" t="inlineStr">
        <is>
          <t>telas de vão (diagonais sobre cantos de janela/porta), reforços de ancoragem e arremates não cobertos pela cantoneira</t>
        </is>
      </c>
      <c r="G6" s="21" t="inlineStr">
        <is>
          <t>vb</t>
        </is>
      </c>
      <c r="H6" s="29" t="n">
        <v>1</v>
      </c>
      <c r="I6" s="21">
        <f>COUNTIFS(Cotações!$E$2:$E$2,$A6)</f>
        <v/>
      </c>
      <c r="J6" s="30">
        <f>IF(I6=0,"—",_xlfn.MINIFS(Cotações!$J$2:$J$2,Cotações!$E$2:$E$2,$A6))</f>
        <v/>
      </c>
      <c r="K6" s="22">
        <f>IF(I6=0,"—",IFERROR(INDEX(Cotações!$H$2:$H$2,MATCH(1,INDEX((Cotações!$E$2:$E$2=$A6)*(Cotações!$J$2:$J$2=J6),0),0)),""))</f>
        <v/>
      </c>
      <c r="L6" s="23">
        <f>IF(I6=0,"—",IFERROR(J6*H6,""))</f>
        <v/>
      </c>
      <c r="M6" s="21" t="inlineStr">
        <is>
          <t>cotar no pacote do painel · a cantoneira de canto está no item próprio (ver Cantoneira PVC c/ tela)</t>
        </is>
      </c>
    </row>
    <row r="7">
      <c r="A7" s="16" t="inlineStr">
        <is>
          <t>IT004</t>
        </is>
      </c>
      <c r="B7" s="17" t="inlineStr">
        <is>
          <t>Geral / Estrutura</t>
        </is>
      </c>
      <c r="C7" s="17" t="inlineStr">
        <is>
          <t>material</t>
        </is>
      </c>
      <c r="D7" s="17" t="n">
        <v>5</v>
      </c>
      <c r="E7" s="16" t="inlineStr">
        <is>
          <t>Laje vigotas + EPS — PISO do superior + técnica (estrutural)</t>
        </is>
      </c>
      <c r="F7" s="16" t="inlineStr"/>
      <c r="G7" s="16" t="inlineStr">
        <is>
          <t>m²</t>
        </is>
      </c>
      <c r="H7" s="31" t="n">
        <v>70</v>
      </c>
      <c r="I7" s="16">
        <f>COUNTIFS(Cotações!$E$2:$E$2,$A7)</f>
        <v/>
      </c>
      <c r="J7" s="32">
        <f>IF(I7=0,"—",_xlfn.MINIFS(Cotações!$J$2:$J$2,Cotações!$E$2:$E$2,$A7))</f>
        <v/>
      </c>
      <c r="K7" s="17">
        <f>IF(I7=0,"—",IFERROR(INDEX(Cotações!$H$2:$H$2,MATCH(1,INDEX((Cotações!$E$2:$E$2=$A7)*(Cotações!$J$2:$J$2=J7),0),0)),""))</f>
        <v/>
      </c>
      <c r="L7" s="18">
        <f>IF(I7=0,"—",IFERROR(J7*H7,""))</f>
        <v/>
      </c>
      <c r="M7" s="16" t="inlineStr">
        <is>
          <t>inclui capa de concreto · é o piso, não forro</t>
        </is>
      </c>
    </row>
    <row r="8">
      <c r="A8" s="21" t="inlineStr">
        <is>
          <t>IT005</t>
        </is>
      </c>
      <c r="B8" s="22" t="inlineStr">
        <is>
          <t>Geral / Estrutura</t>
        </is>
      </c>
      <c r="C8" s="22" t="inlineStr">
        <is>
          <t>material</t>
        </is>
      </c>
      <c r="D8" s="22" t="n">
        <v>2</v>
      </c>
      <c r="E8" s="21" t="inlineStr">
        <is>
          <t>Radier (fundação)</t>
        </is>
      </c>
      <c r="F8" s="21" t="inlineStr"/>
      <c r="G8" s="21" t="inlineStr">
        <is>
          <t>m²</t>
        </is>
      </c>
      <c r="H8" s="29" t="n">
        <v>103</v>
      </c>
      <c r="I8" s="21">
        <f>COUNTIFS(Cotações!$E$2:$E$2,$A8)</f>
        <v/>
      </c>
      <c r="J8" s="30">
        <f>IF(I8=0,"—",_xlfn.MINIFS(Cotações!$J$2:$J$2,Cotações!$E$2:$E$2,$A8))</f>
        <v/>
      </c>
      <c r="K8" s="22">
        <f>IF(I8=0,"—",IFERROR(INDEX(Cotações!$H$2:$H$2,MATCH(1,INDEX((Cotações!$E$2:$E$2=$A8)*(Cotações!$J$2:$J$2=J8),0),0)),""))</f>
        <v/>
      </c>
      <c r="L8" s="23">
        <f>IF(I8=0,"—",IFERROR(J8*H8,""))</f>
        <v/>
      </c>
      <c r="M8" s="21" t="inlineStr">
        <is>
          <t>casa 95 + extensão garagem 8</t>
        </is>
      </c>
    </row>
    <row r="9">
      <c r="A9" s="16" t="inlineStr">
        <is>
          <t>IT006</t>
        </is>
      </c>
      <c r="B9" s="17" t="inlineStr">
        <is>
          <t>Geral / Estrutura</t>
        </is>
      </c>
      <c r="C9" s="17" t="inlineStr">
        <is>
          <t>material</t>
        </is>
      </c>
      <c r="D9" s="17" t="n">
        <v>3</v>
      </c>
      <c r="E9" s="16" t="inlineStr">
        <is>
          <t>Vigas metálicas: testada da laje (7,30 livre, SEM pilar) + balanço da sacada 2,50</t>
        </is>
      </c>
      <c r="F9" s="16" t="inlineStr"/>
      <c r="G9" s="16" t="inlineStr">
        <is>
          <t>vb</t>
        </is>
      </c>
      <c r="H9" s="31" t="n">
        <v>1</v>
      </c>
      <c r="I9" s="16">
        <f>COUNTIFS(Cotações!$E$2:$E$2,$A9)</f>
        <v/>
      </c>
      <c r="J9" s="32">
        <f>IF(I9=0,"—",_xlfn.MINIFS(Cotações!$J$2:$J$2,Cotações!$E$2:$E$2,$A9))</f>
        <v/>
      </c>
      <c r="K9" s="17">
        <f>IF(I9=0,"—",IFERROR(INDEX(Cotações!$H$2:$H$2,MATCH(1,INDEX((Cotações!$E$2:$E$2=$A9)*(Cotações!$J$2:$J$2=J9),0),0)),""))</f>
        <v/>
      </c>
      <c r="L9" s="18">
        <f>IF(I9=0,"—",IFERROR(J9*H9,""))</f>
        <v/>
      </c>
      <c r="M9" s="16" t="inlineStr">
        <is>
          <t>perfis I + engaste sob a suíte — projeto estrutural</t>
        </is>
      </c>
    </row>
    <row r="10">
      <c r="A10" s="21" t="inlineStr">
        <is>
          <t>IT007</t>
        </is>
      </c>
      <c r="B10" s="22" t="inlineStr">
        <is>
          <t>Geral / Estrutura</t>
        </is>
      </c>
      <c r="C10" s="22" t="inlineStr">
        <is>
          <t>material</t>
        </is>
      </c>
      <c r="D10" s="22" t="n">
        <v>6</v>
      </c>
      <c r="E10" s="21" t="inlineStr">
        <is>
          <t>Estrutura metálica da cobertura — 3 treliças galvanizadas a fogo + terças/contrav. Z275</t>
        </is>
      </c>
      <c r="F10" s="21" t="inlineStr">
        <is>
          <t>3 treliças banzos paralelos h=0,40 @3,25 (vão 7,30, degrau triangulado no lanternim): banzos tubo 50×50×2,00 · diagonais 30×30×2,00 · ~72 kg/un · terças Ue100×50×17×2,00 4 linhas @1,33/0,98 · contrav. Ø12 + esticador · vigotas Ue150 @1,25 sobre serviço · ~0,95-1,15 t</t>
        </is>
      </c>
      <c r="G10" s="21" t="inlineStr">
        <is>
          <t>m²</t>
        </is>
      </c>
      <c r="H10" s="29" t="n">
        <v>95</v>
      </c>
      <c r="I10" s="21">
        <f>COUNTIFS(Cotações!$E$2:$E$2,$A10)</f>
        <v/>
      </c>
      <c r="J10" s="30">
        <f>IF(I10=0,"—",_xlfn.MINIFS(Cotações!$J$2:$J$2,Cotações!$E$2:$E$2,$A10))</f>
        <v/>
      </c>
      <c r="K10" s="22">
        <f>IF(I10=0,"—",IFERROR(INDEX(Cotações!$H$2:$H$2,MATCH(1,INDEX((Cotações!$E$2:$E$2=$A10)*(Cotações!$J$2:$J$2=J10),0),0)),""))</f>
        <v/>
      </c>
      <c r="L10" s="23">
        <f>IF(I10=0,"—",IFERROR(J10*H10,""))</f>
        <v/>
      </c>
      <c r="M10" s="21" t="inlineStr">
        <is>
          <t>treliças soldadas em fábrica e galvanizadas a fogo INTEIRAS, parafusadas em obra (tubos c/ furo de dreno) · oitões NO/SE apoiam direto na parede · plenum de 0,40 entre banzos p/ ventilador, luminárias e linhas do split · ver F-07/F-08/F-09</t>
        </is>
      </c>
    </row>
    <row r="11">
      <c r="A11" s="16" t="inlineStr">
        <is>
          <t>IT008</t>
        </is>
      </c>
      <c r="B11" s="17" t="inlineStr">
        <is>
          <t>Geral / Estrutura</t>
        </is>
      </c>
      <c r="C11" s="17" t="inlineStr">
        <is>
          <t>material</t>
        </is>
      </c>
      <c r="D11" s="17" t="n">
        <v>6</v>
      </c>
      <c r="E11" s="16" t="inlineStr">
        <is>
          <t>Telha sanduíche EPS</t>
        </is>
      </c>
      <c r="F11" s="16" t="inlineStr"/>
      <c r="G11" s="16" t="inlineStr">
        <is>
          <t>m²</t>
        </is>
      </c>
      <c r="H11" s="31" t="n">
        <v>100</v>
      </c>
      <c r="I11" s="16">
        <f>COUNTIFS(Cotações!$E$2:$E$2,$A11)</f>
        <v/>
      </c>
      <c r="J11" s="32">
        <f>IF(I11=0,"—",_xlfn.MINIFS(Cotações!$J$2:$J$2,Cotações!$E$2:$E$2,$A11))</f>
        <v/>
      </c>
      <c r="K11" s="17">
        <f>IF(I11=0,"—",IFERROR(INDEX(Cotações!$H$2:$H$2,MATCH(1,INDEX((Cotações!$E$2:$E$2=$A11)*(Cotações!$J$2:$J$2=J11),0),0)),""))</f>
        <v/>
      </c>
      <c r="L11" s="18">
        <f>IF(I11=0,"—",IFERROR(J11*H11,""))</f>
        <v/>
      </c>
      <c r="M11" s="16" t="inlineStr">
        <is>
          <t>não cobre a faixa de luz (8,20 × 1,20 descoberta) · cobre serviço/técnica (4,00 × 1,20)</t>
        </is>
      </c>
    </row>
    <row r="12">
      <c r="A12" s="21" t="inlineStr">
        <is>
          <t>IT009</t>
        </is>
      </c>
      <c r="B12" s="22" t="inlineStr">
        <is>
          <t>Geral / Estrutura</t>
        </is>
      </c>
      <c r="C12" s="22" t="inlineStr">
        <is>
          <t>material</t>
        </is>
      </c>
      <c r="D12" s="22" t="n">
        <v>6</v>
      </c>
      <c r="E12" s="21" t="inlineStr">
        <is>
          <t>Lanternim — vidro laminado/policarbonato + básculas</t>
        </is>
      </c>
      <c r="F12" s="21" t="inlineStr"/>
      <c r="G12" s="21" t="inlineStr">
        <is>
          <t>m²</t>
        </is>
      </c>
      <c r="H12" s="29" t="n">
        <v>12</v>
      </c>
      <c r="I12" s="21">
        <f>COUNTIFS(Cotações!$E$2:$E$2,$A12)</f>
        <v/>
      </c>
      <c r="J12" s="30">
        <f>IF(I12=0,"—",_xlfn.MINIFS(Cotações!$J$2:$J$2,Cotações!$E$2:$E$2,$A12))</f>
        <v/>
      </c>
      <c r="K12" s="22">
        <f>IF(I12=0,"—",IFERROR(INDEX(Cotações!$H$2:$H$2,MATCH(1,INDEX((Cotações!$E$2:$E$2=$A12)*(Cotações!$J$2:$J$2=J12),0),0)),""))</f>
        <v/>
      </c>
      <c r="L12" s="23">
        <f>IF(I12=0,"—",IFERROR(J12*H12,""))</f>
        <v/>
      </c>
      <c r="M12" s="21" t="inlineStr">
        <is>
          <t>13 m × 0,90</t>
        </is>
      </c>
    </row>
    <row r="13">
      <c r="A13" s="16" t="inlineStr">
        <is>
          <t>IT010</t>
        </is>
      </c>
      <c r="B13" s="17" t="inlineStr">
        <is>
          <t>Geral / Estrutura</t>
        </is>
      </c>
      <c r="C13" s="17" t="inlineStr">
        <is>
          <t>material</t>
        </is>
      </c>
      <c r="D13" s="17" t="n">
        <v>6</v>
      </c>
      <c r="E13" s="16" t="inlineStr">
        <is>
          <t>Rufos e arremates — oitões, chaminé e lanternim</t>
        </is>
      </c>
      <c r="F13" s="16" t="inlineStr">
        <is>
          <t>chapa galvanizada #24 (0,65 mm) ou alumínio · dobra ≥150 mm na parede e ≥200 mm sobre a telha, com pingadeira</t>
        </is>
      </c>
      <c r="G13" s="16" t="inlineStr">
        <is>
          <t>vb</t>
        </is>
      </c>
      <c r="H13" s="31" t="n">
        <v>1</v>
      </c>
      <c r="I13" s="16">
        <f>COUNTIFS(Cotações!$E$2:$E$2,$A13)</f>
        <v/>
      </c>
      <c r="J13" s="32">
        <f>IF(I13=0,"—",_xlfn.MINIFS(Cotações!$J$2:$J$2,Cotações!$E$2:$E$2,$A13))</f>
        <v/>
      </c>
      <c r="K13" s="17">
        <f>IF(I13=0,"—",IFERROR(INDEX(Cotações!$H$2:$H$2,MATCH(1,INDEX((Cotações!$E$2:$E$2=$A13)*(Cotações!$J$2:$J$2=J13),0),0)),""))</f>
        <v/>
      </c>
      <c r="L13" s="18">
        <f>IF(I13=0,"—",IFERROR(J13*H13,""))</f>
        <v/>
      </c>
      <c r="M13" s="16" t="inlineStr">
        <is>
          <t>ponto crítico de estanqueidade · lanternim tem rufo de topo E de base (ver F-09) · calhas em item próprio</t>
        </is>
      </c>
    </row>
    <row r="14">
      <c r="A14" s="21" t="inlineStr">
        <is>
          <t>IT011</t>
        </is>
      </c>
      <c r="B14" s="22" t="inlineStr">
        <is>
          <t>Geral / Estrutura</t>
        </is>
      </c>
      <c r="C14" s="22" t="inlineStr">
        <is>
          <t>material</t>
        </is>
      </c>
      <c r="D14" s="22" t="n">
        <v>3</v>
      </c>
      <c r="E14" s="21" t="inlineStr">
        <is>
          <t>Guarda-corpos (mezanino, corredor, escada)</t>
        </is>
      </c>
      <c r="F14" s="21" t="inlineStr"/>
      <c r="G14" s="21" t="inlineStr">
        <is>
          <t>m</t>
        </is>
      </c>
      <c r="H14" s="29" t="n">
        <v>14</v>
      </c>
      <c r="I14" s="21">
        <f>COUNTIFS(Cotações!$E$2:$E$2,$A14)</f>
        <v/>
      </c>
      <c r="J14" s="30">
        <f>IF(I14=0,"—",_xlfn.MINIFS(Cotações!$J$2:$J$2,Cotações!$E$2:$E$2,$A14))</f>
        <v/>
      </c>
      <c r="K14" s="22">
        <f>IF(I14=0,"—",IFERROR(INDEX(Cotações!$H$2:$H$2,MATCH(1,INDEX((Cotações!$E$2:$E$2=$A14)*(Cotações!$J$2:$J$2=J14),0),0)),""))</f>
        <v/>
      </c>
      <c r="L14" s="23">
        <f>IF(I14=0,"—",IFERROR(J14*H14,""))</f>
        <v/>
      </c>
      <c r="M14" s="21" t="inlineStr">
        <is>
          <t>metálico/vidro — definir</t>
        </is>
      </c>
    </row>
    <row r="15">
      <c r="A15" s="16" t="inlineStr">
        <is>
          <t>IT012</t>
        </is>
      </c>
      <c r="B15" s="17" t="inlineStr">
        <is>
          <t>Geral / Estrutura</t>
        </is>
      </c>
      <c r="C15" s="17" t="inlineStr">
        <is>
          <t>material</t>
        </is>
      </c>
      <c r="D15" s="17" t="n">
        <v>3</v>
      </c>
      <c r="E15" s="16" t="inlineStr">
        <is>
          <t>Escada metálica aberta (fachada norte)</t>
        </is>
      </c>
      <c r="F15" s="16" t="inlineStr"/>
      <c r="G15" s="16" t="inlineStr">
        <is>
          <t>vb</t>
        </is>
      </c>
      <c r="H15" s="31" t="n">
        <v>1</v>
      </c>
      <c r="I15" s="16">
        <f>COUNTIFS(Cotações!$E$2:$E$2,$A15)</f>
        <v/>
      </c>
      <c r="J15" s="32">
        <f>IF(I15=0,"—",_xlfn.MINIFS(Cotações!$J$2:$J$2,Cotações!$E$2:$E$2,$A15))</f>
        <v/>
      </c>
      <c r="K15" s="17">
        <f>IF(I15=0,"—",IFERROR(INDEX(Cotações!$H$2:$H$2,MATCH(1,INDEX((Cotações!$E$2:$E$2=$A15)*(Cotações!$J$2:$J$2=J15),0),0)),""))</f>
        <v/>
      </c>
      <c r="L15" s="18">
        <f>IF(I15=0,"—",IFERROR(J15*H15,""))</f>
        <v/>
      </c>
      <c r="M15" s="16" t="inlineStr">
        <is>
          <t>estrutura + degraus</t>
        </is>
      </c>
    </row>
    <row r="16">
      <c r="A16" s="21" t="inlineStr">
        <is>
          <t>IT013</t>
        </is>
      </c>
      <c r="B16" s="22" t="inlineStr">
        <is>
          <t>Geral / Estrutura</t>
        </is>
      </c>
      <c r="C16" s="22" t="inlineStr">
        <is>
          <t>material</t>
        </is>
      </c>
      <c r="D16" s="22" t="n">
        <v>7</v>
      </c>
      <c r="E16" s="21" t="inlineStr">
        <is>
          <t>Esquadrias (janelas, porta balcão, portas)</t>
        </is>
      </c>
      <c r="F16" s="21" t="inlineStr"/>
      <c r="G16" s="21" t="inlineStr">
        <is>
          <t>vb</t>
        </is>
      </c>
      <c r="H16" s="29" t="n">
        <v>1</v>
      </c>
      <c r="I16" s="21">
        <f>COUNTIFS(Cotações!$E$2:$E$2,$A16)</f>
        <v/>
      </c>
      <c r="J16" s="30">
        <f>IF(I16=0,"—",_xlfn.MINIFS(Cotações!$J$2:$J$2,Cotações!$E$2:$E$2,$A16))</f>
        <v/>
      </c>
      <c r="K16" s="22">
        <f>IF(I16=0,"—",IFERROR(INDEX(Cotações!$H$2:$H$2,MATCH(1,INDEX((Cotações!$E$2:$E$2=$A16)*(Cotações!$J$2:$J$2=J16),0),0)),""))</f>
        <v/>
      </c>
      <c r="L16" s="23">
        <f>IF(I16=0,"—",IFERROR(J16*H16,""))</f>
        <v/>
      </c>
      <c r="M16" s="21" t="inlineStr">
        <is>
          <t>detalhar por vão</t>
        </is>
      </c>
    </row>
    <row r="17">
      <c r="A17" s="16" t="inlineStr">
        <is>
          <t>IT014</t>
        </is>
      </c>
      <c r="B17" s="17" t="inlineStr">
        <is>
          <t>Geral / Estrutura</t>
        </is>
      </c>
      <c r="C17" s="17" t="inlineStr">
        <is>
          <t>material</t>
        </is>
      </c>
      <c r="D17" s="17" t="n">
        <v>9</v>
      </c>
      <c r="E17" s="16" t="inlineStr">
        <is>
          <t>Elétrica + automação — ver aba Elétrica</t>
        </is>
      </c>
      <c r="F17" s="16" t="inlineStr"/>
      <c r="G17" s="16" t="inlineStr">
        <is>
          <t>vb</t>
        </is>
      </c>
      <c r="H17" s="31" t="n">
        <v>1</v>
      </c>
      <c r="I17" s="16">
        <f>COUNTIFS(Cotações!$E$2:$E$2,$A17)</f>
        <v/>
      </c>
      <c r="J17" s="32">
        <f>IF(I17=0,"—",_xlfn.MINIFS(Cotações!$J$2:$J$2,Cotações!$E$2:$E$2,$A17))</f>
        <v/>
      </c>
      <c r="K17" s="17">
        <f>IF(I17=0,"—",IFERROR(INDEX(Cotações!$H$2:$H$2,MATCH(1,INDEX((Cotações!$E$2:$E$2=$A17)*(Cotações!$J$2:$J$2=J17),0),0)),""))</f>
        <v/>
      </c>
      <c r="L17" s="18">
        <f>IF(I17=0,"—",IFERROR(J17*H17,""))</f>
        <v/>
      </c>
      <c r="M17" s="16" t="inlineStr">
        <is>
          <t>quantitativo detalhado na aba própria</t>
        </is>
      </c>
    </row>
    <row r="18">
      <c r="A18" s="21" t="inlineStr">
        <is>
          <t>IT015</t>
        </is>
      </c>
      <c r="B18" s="22" t="inlineStr">
        <is>
          <t>Geral / Estrutura</t>
        </is>
      </c>
      <c r="C18" s="22" t="inlineStr">
        <is>
          <t>material</t>
        </is>
      </c>
      <c r="D18" s="22" t="n">
        <v>11</v>
      </c>
      <c r="E18" s="21" t="inlineStr">
        <is>
          <t>Impermeabilizações (banheiros, laje técnica)</t>
        </is>
      </c>
      <c r="F18" s="21" t="inlineStr"/>
      <c r="G18" s="21" t="inlineStr">
        <is>
          <t>vb</t>
        </is>
      </c>
      <c r="H18" s="29" t="n">
        <v>1</v>
      </c>
      <c r="I18" s="21">
        <f>COUNTIFS(Cotações!$E$2:$E$2,$A18)</f>
        <v/>
      </c>
      <c r="J18" s="30">
        <f>IF(I18=0,"—",_xlfn.MINIFS(Cotações!$J$2:$J$2,Cotações!$E$2:$E$2,$A18))</f>
        <v/>
      </c>
      <c r="K18" s="22">
        <f>IF(I18=0,"—",IFERROR(INDEX(Cotações!$H$2:$H$2,MATCH(1,INDEX((Cotações!$E$2:$E$2=$A18)*(Cotações!$J$2:$J$2=J18),0),0)),""))</f>
        <v/>
      </c>
      <c r="L18" s="23">
        <f>IF(I18=0,"—",IFERROR(J18*H18,""))</f>
        <v/>
      </c>
      <c r="M18" s="21" t="inlineStr">
        <is>
          <t>CRÍTICO: banheiros sem box drenam pela camada de pedra — impermeabilizar TODO o piso c/ caimento ao ralo oculto</t>
        </is>
      </c>
    </row>
    <row r="19">
      <c r="A19" s="16" t="inlineStr">
        <is>
          <t>IT016</t>
        </is>
      </c>
      <c r="B19" s="17" t="inlineStr">
        <is>
          <t>Geral / Estrutura</t>
        </is>
      </c>
      <c r="C19" s="17" t="inlineStr">
        <is>
          <t>material</t>
        </is>
      </c>
      <c r="D19" s="17" t="n">
        <v>8</v>
      </c>
      <c r="E19" s="16" t="inlineStr">
        <is>
          <t>Hidráulica completa + preparação PV</t>
        </is>
      </c>
      <c r="F19" s="16" t="inlineStr"/>
      <c r="G19" s="16" t="inlineStr">
        <is>
          <t>vb</t>
        </is>
      </c>
      <c r="H19" s="31" t="n">
        <v>1</v>
      </c>
      <c r="I19" s="16">
        <f>COUNTIFS(Cotações!$E$2:$E$2,$A19)</f>
        <v/>
      </c>
      <c r="J19" s="32">
        <f>IF(I19=0,"—",_xlfn.MINIFS(Cotações!$J$2:$J$2,Cotações!$E$2:$E$2,$A19))</f>
        <v/>
      </c>
      <c r="K19" s="17">
        <f>IF(I19=0,"—",IFERROR(INDEX(Cotações!$H$2:$H$2,MATCH(1,INDEX((Cotações!$E$2:$E$2=$A19)*(Cotações!$J$2:$J$2=J19),0),0)),""))</f>
        <v/>
      </c>
      <c r="L19" s="18">
        <f>IF(I19=0,"—",IFERROR(J19*H19,""))</f>
        <v/>
      </c>
      <c r="M19" s="16" t="inlineStr">
        <is>
          <t>ver aba Hidráulica</t>
        </is>
      </c>
    </row>
    <row r="20">
      <c r="A20" s="21" t="inlineStr">
        <is>
          <t>IT017</t>
        </is>
      </c>
      <c r="B20" s="22" t="inlineStr">
        <is>
          <t>Geral / Estrutura</t>
        </is>
      </c>
      <c r="C20" s="22" t="inlineStr">
        <is>
          <t>serviço</t>
        </is>
      </c>
      <c r="D20" s="22" t="n">
        <v>1</v>
      </c>
      <c r="E20" s="21" t="inlineStr">
        <is>
          <t>Sondagem SPT (2–3 furos)</t>
        </is>
      </c>
      <c r="F20" s="21" t="inlineStr">
        <is>
          <t>insumo do projeto de fundação (radier)</t>
        </is>
      </c>
      <c r="G20" s="21" t="inlineStr">
        <is>
          <t>vb</t>
        </is>
      </c>
      <c r="H20" s="29" t="n">
        <v>1</v>
      </c>
      <c r="I20" s="21">
        <f>COUNTIFS(Cotações!$E$2:$E$2,$A20)</f>
        <v/>
      </c>
      <c r="J20" s="30">
        <f>IF(I20=0,"—",_xlfn.MINIFS(Cotações!$J$2:$J$2,Cotações!$E$2:$E$2,$A20))</f>
        <v/>
      </c>
      <c r="K20" s="22">
        <f>IF(I20=0,"—",IFERROR(INDEX(Cotações!$H$2:$H$2,MATCH(1,INDEX((Cotações!$E$2:$E$2=$A20)*(Cotações!$J$2:$J$2=J20),0),0)),""))</f>
        <v/>
      </c>
      <c r="L20" s="23">
        <f>IF(I20=0,"—",IFERROR(J20*H20,""))</f>
        <v/>
      </c>
      <c r="M20" s="21" t="inlineStr">
        <is>
          <t>fazer ANTES do projeto de fundação</t>
        </is>
      </c>
    </row>
    <row r="21">
      <c r="A21" s="16" t="inlineStr">
        <is>
          <t>IT018</t>
        </is>
      </c>
      <c r="B21" s="17" t="inlineStr">
        <is>
          <t>Geral / Estrutura</t>
        </is>
      </c>
      <c r="C21" s="17" t="inlineStr">
        <is>
          <t>material</t>
        </is>
      </c>
      <c r="D21" s="17" t="n">
        <v>10</v>
      </c>
      <c r="E21" s="16" t="inlineStr">
        <is>
          <t>Climatização — ver aba Climatização</t>
        </is>
      </c>
      <c r="F21" s="16" t="inlineStr"/>
      <c r="G21" s="16" t="inlineStr">
        <is>
          <t>vb</t>
        </is>
      </c>
      <c r="H21" s="31" t="n">
        <v>1</v>
      </c>
      <c r="I21" s="16">
        <f>COUNTIFS(Cotações!$E$2:$E$2,$A21)</f>
        <v/>
      </c>
      <c r="J21" s="32">
        <f>IF(I21=0,"—",_xlfn.MINIFS(Cotações!$J$2:$J$2,Cotações!$E$2:$E$2,$A21))</f>
        <v/>
      </c>
      <c r="K21" s="17">
        <f>IF(I21=0,"—",IFERROR(INDEX(Cotações!$H$2:$H$2,MATCH(1,INDEX((Cotações!$E$2:$E$2=$A21)*(Cotações!$J$2:$J$2=J21),0),0)),""))</f>
        <v/>
      </c>
      <c r="L21" s="18">
        <f>IF(I21=0,"—",IFERROR(J21*H21,""))</f>
        <v/>
      </c>
      <c r="M21" s="16" t="inlineStr">
        <is>
          <t>infra elétrica dos 5 pontos já na aba Elétrica</t>
        </is>
      </c>
    </row>
    <row r="22">
      <c r="A22" s="21" t="inlineStr">
        <is>
          <t>IT019</t>
        </is>
      </c>
      <c r="B22" s="22" t="inlineStr">
        <is>
          <t>Geral / Estrutura</t>
        </is>
      </c>
      <c r="C22" s="22" t="inlineStr">
        <is>
          <t>material</t>
        </is>
      </c>
      <c r="D22" s="22" t="n">
        <v>5</v>
      </c>
      <c r="E22" s="21" t="inlineStr">
        <is>
          <t>Laje da sacada/varanda (vigotas + EPS + capa)</t>
        </is>
      </c>
      <c r="F22" s="21" t="inlineStr"/>
      <c r="G22" s="21" t="inlineStr">
        <is>
          <t>m²</t>
        </is>
      </c>
      <c r="H22" s="29" t="n">
        <v>18</v>
      </c>
      <c r="I22" s="21">
        <f>COUNTIFS(Cotações!$E$2:$E$2,$A22)</f>
        <v/>
      </c>
      <c r="J22" s="30">
        <f>IF(I22=0,"—",_xlfn.MINIFS(Cotações!$J$2:$J$2,Cotações!$E$2:$E$2,$A22))</f>
        <v/>
      </c>
      <c r="K22" s="22">
        <f>IF(I22=0,"—",IFERROR(INDEX(Cotações!$H$2:$H$2,MATCH(1,INDEX((Cotações!$E$2:$E$2=$A22)*(Cotações!$J$2:$J$2=J22),0),0)),""))</f>
        <v/>
      </c>
      <c r="L22" s="23">
        <f>IF(I22=0,"—",IFERROR(J22*H22,""))</f>
        <v/>
      </c>
      <c r="M22" s="21" t="inlineStr">
        <is>
          <t>sobre vigas metálicas em balanço</t>
        </is>
      </c>
    </row>
    <row r="23">
      <c r="A23" s="16" t="inlineStr">
        <is>
          <t>IT020</t>
        </is>
      </c>
      <c r="B23" s="17" t="inlineStr">
        <is>
          <t>Geral / Estrutura</t>
        </is>
      </c>
      <c r="C23" s="17" t="inlineStr">
        <is>
          <t>material</t>
        </is>
      </c>
      <c r="D23" s="17" t="n">
        <v>11</v>
      </c>
      <c r="E23" s="16" t="inlineStr">
        <is>
          <t>Impermeabilização do piso da extensão (sobre varanda aberta)</t>
        </is>
      </c>
      <c r="F23" s="16" t="inlineStr"/>
      <c r="G23" s="16" t="inlineStr">
        <is>
          <t>m²</t>
        </is>
      </c>
      <c r="H23" s="31" t="n">
        <v>18</v>
      </c>
      <c r="I23" s="16">
        <f>COUNTIFS(Cotações!$E$2:$E$2,$A23)</f>
        <v/>
      </c>
      <c r="J23" s="32">
        <f>IF(I23=0,"—",_xlfn.MINIFS(Cotações!$J$2:$J$2,Cotações!$E$2:$E$2,$A23))</f>
        <v/>
      </c>
      <c r="K23" s="17">
        <f>IF(I23=0,"—",IFERROR(INDEX(Cotações!$H$2:$H$2,MATCH(1,INDEX((Cotações!$E$2:$E$2=$A23)*(Cotações!$J$2:$J$2=J23),0),0)),""))</f>
        <v/>
      </c>
      <c r="L23" s="18">
        <f>IF(I23=0,"—",IFERROR(J23*H23,""))</f>
        <v/>
      </c>
      <c r="M23" s="16" t="inlineStr">
        <is>
          <t>varanda gourmet abaixo</t>
        </is>
      </c>
    </row>
    <row r="24">
      <c r="A24" s="21" t="inlineStr">
        <is>
          <t>IT021</t>
        </is>
      </c>
      <c r="B24" s="22" t="inlineStr">
        <is>
          <t>Geral / Estrutura</t>
        </is>
      </c>
      <c r="C24" s="22" t="inlineStr">
        <is>
          <t>material</t>
        </is>
      </c>
      <c r="D24" s="22" t="n">
        <v>7</v>
      </c>
      <c r="E24" s="21" t="inlineStr">
        <is>
          <t>Mureta + envidraçamento da extensão da suíte (vidro até o forro)</t>
        </is>
      </c>
      <c r="F24" s="21" t="inlineStr"/>
      <c r="G24" s="21" t="inlineStr">
        <is>
          <t>m²</t>
        </is>
      </c>
      <c r="H24" s="29" t="n">
        <v>21</v>
      </c>
      <c r="I24" s="21">
        <f>COUNTIFS(Cotações!$E$2:$E$2,$A24)</f>
        <v/>
      </c>
      <c r="J24" s="30">
        <f>IF(I24=0,"—",_xlfn.MINIFS(Cotações!$J$2:$J$2,Cotações!$E$2:$E$2,$A24))</f>
        <v/>
      </c>
      <c r="K24" s="22">
        <f>IF(I24=0,"—",IFERROR(INDEX(Cotações!$H$2:$H$2,MATCH(1,INDEX((Cotações!$E$2:$E$2=$A24)*(Cotações!$J$2:$J$2=J24),0),0)),""))</f>
        <v/>
      </c>
      <c r="L24" s="23">
        <f>IF(I24=0,"—",IFERROR(J24*H24,""))</f>
        <v/>
      </c>
      <c r="M24" s="21" t="inlineStr">
        <is>
          <t>perímetro 12,3 m × ~1,7 m de vidro sobre mureta</t>
        </is>
      </c>
    </row>
    <row r="25">
      <c r="A25" s="16" t="inlineStr">
        <is>
          <t>IT022</t>
        </is>
      </c>
      <c r="B25" s="17" t="inlineStr">
        <is>
          <t>Geral / Estrutura</t>
        </is>
      </c>
      <c r="C25" s="17" t="inlineStr">
        <is>
          <t>material</t>
        </is>
      </c>
      <c r="D25" s="17" t="n">
        <v>11</v>
      </c>
      <c r="E25" s="16" t="inlineStr">
        <is>
          <t>Forro da extensão da suíte (esconde o V do telhado)</t>
        </is>
      </c>
      <c r="F25" s="16" t="inlineStr"/>
      <c r="G25" s="16" t="inlineStr">
        <is>
          <t>m²</t>
        </is>
      </c>
      <c r="H25" s="31" t="n">
        <v>18</v>
      </c>
      <c r="I25" s="16">
        <f>COUNTIFS(Cotações!$E$2:$E$2,$A25)</f>
        <v/>
      </c>
      <c r="J25" s="32">
        <f>IF(I25=0,"—",_xlfn.MINIFS(Cotações!$J$2:$J$2,Cotações!$E$2:$E$2,$A25))</f>
        <v/>
      </c>
      <c r="K25" s="17">
        <f>IF(I25=0,"—",IFERROR(INDEX(Cotações!$H$2:$H$2,MATCH(1,INDEX((Cotações!$E$2:$E$2=$A25)*(Cotações!$J$2:$J$2=J25),0),0)),""))</f>
        <v/>
      </c>
      <c r="L25" s="18">
        <f>IF(I25=0,"—",IFERROR(J25*H25,""))</f>
        <v/>
      </c>
      <c r="M25" s="16" t="inlineStr">
        <is>
          <t>gesso/PVC sobre a extensão · suíte integrada, sem porta</t>
        </is>
      </c>
    </row>
    <row r="26">
      <c r="A26" s="21" t="inlineStr">
        <is>
          <t>IT023</t>
        </is>
      </c>
      <c r="B26" s="22" t="inlineStr">
        <is>
          <t>Geral / Estrutura</t>
        </is>
      </c>
      <c r="C26" s="22" t="inlineStr">
        <is>
          <t>material</t>
        </is>
      </c>
      <c r="D26" s="22" t="n">
        <v>12</v>
      </c>
      <c r="E26" s="21" t="inlineStr">
        <is>
          <t>Churrasqueira + chaminé acima da cobertura</t>
        </is>
      </c>
      <c r="F26" s="21" t="inlineStr"/>
      <c r="G26" s="21" t="inlineStr">
        <is>
          <t>vb</t>
        </is>
      </c>
      <c r="H26" s="29" t="n">
        <v>1</v>
      </c>
      <c r="I26" s="21">
        <f>COUNTIFS(Cotações!$E$2:$E$2,$A26)</f>
        <v/>
      </c>
      <c r="J26" s="30">
        <f>IF(I26=0,"—",_xlfn.MINIFS(Cotações!$J$2:$J$2,Cotações!$E$2:$E$2,$A26))</f>
        <v/>
      </c>
      <c r="K26" s="22">
        <f>IF(I26=0,"—",IFERROR(INDEX(Cotações!$H$2:$H$2,MATCH(1,INDEX((Cotações!$E$2:$E$2=$A26)*(Cotações!$J$2:$J$2=J26),0),0)),""))</f>
        <v/>
      </c>
      <c r="L26" s="23">
        <f>IF(I26=0,"—",IFERROR(J26*H26,""))</f>
        <v/>
      </c>
      <c r="M26" s="21" t="inlineStr">
        <is>
          <t>canto leste da varanda</t>
        </is>
      </c>
    </row>
    <row r="27">
      <c r="A27" s="16" t="inlineStr">
        <is>
          <t>IT024</t>
        </is>
      </c>
      <c r="B27" s="17" t="inlineStr">
        <is>
          <t>Geral / Estrutura</t>
        </is>
      </c>
      <c r="C27" s="17" t="inlineStr">
        <is>
          <t>material</t>
        </is>
      </c>
      <c r="D27" s="17" t="n">
        <v>12</v>
      </c>
      <c r="E27" s="16" t="inlineStr">
        <is>
          <t>Cooktop a gás externo + abrigo P13 + kit instalação</t>
        </is>
      </c>
      <c r="F27" s="16" t="inlineStr"/>
      <c r="G27" s="16" t="inlineStr">
        <is>
          <t>vb</t>
        </is>
      </c>
      <c r="H27" s="31" t="n">
        <v>1</v>
      </c>
      <c r="I27" s="16">
        <f>COUNTIFS(Cotações!$E$2:$E$2,$A27)</f>
        <v/>
      </c>
      <c r="J27" s="32">
        <f>IF(I27=0,"—",_xlfn.MINIFS(Cotações!$J$2:$J$2,Cotações!$E$2:$E$2,$A27))</f>
        <v/>
      </c>
      <c r="K27" s="17">
        <f>IF(I27=0,"—",IFERROR(INDEX(Cotações!$H$2:$H$2,MATCH(1,INDEX((Cotações!$E$2:$E$2=$A27)*(Cotações!$J$2:$J$2=J27),0),0)),""))</f>
        <v/>
      </c>
      <c r="L27" s="18">
        <f>IF(I27=0,"—",IFERROR(J27*H27,""))</f>
        <v/>
      </c>
      <c r="M27" s="16" t="inlineStr">
        <is>
          <t>redundância — gás só na varanda</t>
        </is>
      </c>
    </row>
    <row r="28">
      <c r="A28" s="21" t="inlineStr">
        <is>
          <t>IT025</t>
        </is>
      </c>
      <c r="B28" s="22" t="inlineStr">
        <is>
          <t>Geral / Estrutura</t>
        </is>
      </c>
      <c r="C28" s="22" t="inlineStr">
        <is>
          <t>material</t>
        </is>
      </c>
      <c r="D28" s="22" t="n">
        <v>12</v>
      </c>
      <c r="E28" s="21" t="inlineStr">
        <is>
          <t>Bancada ilha: porcelanato sinterizado 12 mm + rebaixo italiano</t>
        </is>
      </c>
      <c r="F28" s="21" t="inlineStr"/>
      <c r="G28" s="21" t="inlineStr">
        <is>
          <t>m²</t>
        </is>
      </c>
      <c r="H28" s="29" t="n">
        <v>5</v>
      </c>
      <c r="I28" s="21">
        <f>COUNTIFS(Cotações!$E$2:$E$2,$A28)</f>
        <v/>
      </c>
      <c r="J28" s="30">
        <f>IF(I28=0,"—",_xlfn.MINIFS(Cotações!$J$2:$J$2,Cotações!$E$2:$E$2,$A28))</f>
        <v/>
      </c>
      <c r="K28" s="22">
        <f>IF(I28=0,"—",IFERROR(INDEX(Cotações!$H$2:$H$2,MATCH(1,INDEX((Cotações!$E$2:$E$2=$A28)*(Cotações!$J$2:$J$2=J28),0),0)),""))</f>
        <v/>
      </c>
      <c r="L28" s="23">
        <f>IF(I28=0,"—",IFERROR(J28*H28,""))</f>
        <v/>
      </c>
      <c r="M28" s="21" t="inlineStr">
        <is>
          <t>quartzo/resina NÃO compatível c/ Invisacook</t>
        </is>
      </c>
    </row>
    <row r="29">
      <c r="A29" s="16" t="inlineStr">
        <is>
          <t>IT026</t>
        </is>
      </c>
      <c r="B29" s="17" t="inlineStr">
        <is>
          <t>Geral / Estrutura</t>
        </is>
      </c>
      <c r="C29" s="17" t="inlineStr">
        <is>
          <t>material</t>
        </is>
      </c>
      <c r="D29" s="17" t="n">
        <v>12</v>
      </c>
      <c r="E29" s="16" t="inlineStr">
        <is>
          <t>Invisacook 4 zonas + acessórios (mantas, indicadores)</t>
        </is>
      </c>
      <c r="F29" s="16" t="inlineStr"/>
      <c r="G29" s="16" t="inlineStr">
        <is>
          <t>un</t>
        </is>
      </c>
      <c r="H29" s="31" t="n">
        <v>1</v>
      </c>
      <c r="I29" s="16">
        <f>COUNTIFS(Cotações!$E$2:$E$2,$A29)</f>
        <v/>
      </c>
      <c r="J29" s="32">
        <f>IF(I29=0,"—",_xlfn.MINIFS(Cotações!$J$2:$J$2,Cotações!$E$2:$E$2,$A29))</f>
        <v/>
      </c>
      <c r="K29" s="17">
        <f>IF(I29=0,"—",IFERROR(INDEX(Cotações!$H$2:$H$2,MATCH(1,INDEX((Cotações!$E$2:$E$2=$A29)*(Cotações!$J$2:$J$2=J29),0),0)),""))</f>
        <v/>
      </c>
      <c r="L29" s="18">
        <f>IF(I29=0,"—",IFERROR(J29*H29,""))</f>
        <v/>
      </c>
      <c r="M29" s="16" t="inlineStr">
        <is>
          <t>circuito 40 A na aba Elétrica</t>
        </is>
      </c>
    </row>
    <row r="30">
      <c r="A30" s="21" t="inlineStr">
        <is>
          <t>IT027</t>
        </is>
      </c>
      <c r="B30" s="22" t="inlineStr">
        <is>
          <t>Geral / Estrutura</t>
        </is>
      </c>
      <c r="C30" s="22" t="inlineStr">
        <is>
          <t>material</t>
        </is>
      </c>
      <c r="D30" s="22" t="n">
        <v>7</v>
      </c>
      <c r="E30" s="21" t="inlineStr">
        <is>
          <t>Janelão vertical fachada noroeste (vidro laminado) + película espelhada</t>
        </is>
      </c>
      <c r="F30" s="21" t="inlineStr">
        <is>
          <t>parede da escada · 3,20 × 4,70 m · peitoril 1,00 · caixilho estruturado</t>
        </is>
      </c>
      <c r="G30" s="21" t="inlineStr">
        <is>
          <t>m²</t>
        </is>
      </c>
      <c r="H30" s="29" t="n">
        <v>15</v>
      </c>
      <c r="I30" s="21">
        <f>COUNTIFS(Cotações!$E$2:$E$2,$A30)</f>
        <v/>
      </c>
      <c r="J30" s="30">
        <f>IF(I30=0,"—",_xlfn.MINIFS(Cotações!$J$2:$J$2,Cotações!$E$2:$E$2,$A30))</f>
        <v/>
      </c>
      <c r="K30" s="22">
        <f>IF(I30=0,"—",IFERROR(INDEX(Cotações!$H$2:$H$2,MATCH(1,INDEX((Cotações!$E$2:$E$2=$A30)*(Cotações!$J$2:$J$2=J30),0),0)),""))</f>
        <v/>
      </c>
      <c r="L30" s="23">
        <f>IF(I30=0,"—",IFERROR(J30*H30,""))</f>
        <v/>
      </c>
      <c r="M30" s="21" t="inlineStr">
        <is>
          <t>CORRIGIDO: largura alinhada à planta F-02 (era 2,2 m no catálogo e 2,4 m na elevação — a planta sempre mostrou 3,20 m, cobrindo todo o lance da escada) · película espelhada só no trecho do piso superior; térreo com vidro transparente</t>
        </is>
      </c>
    </row>
    <row r="31">
      <c r="A31" s="16" t="inlineStr">
        <is>
          <t>IT028</t>
        </is>
      </c>
      <c r="B31" s="17" t="inlineStr">
        <is>
          <t>Hidráulica</t>
        </is>
      </c>
      <c r="C31" s="17" t="inlineStr">
        <is>
          <t>material</t>
        </is>
      </c>
      <c r="D31" s="17" t="n">
        <v>8</v>
      </c>
      <c r="E31" s="16" t="inlineStr">
        <is>
          <t>Tubo PEX 20 mm (água quente)</t>
        </is>
      </c>
      <c r="F31" s="16" t="inlineStr">
        <is>
          <t>PEX-A c/ barreira anti-O₂</t>
        </is>
      </c>
      <c r="G31" s="16" t="inlineStr">
        <is>
          <t>m</t>
        </is>
      </c>
      <c r="H31" s="31" t="n">
        <v>75</v>
      </c>
      <c r="I31" s="16">
        <f>COUNTIFS(Cotações!$E$2:$E$2,$A31)</f>
        <v/>
      </c>
      <c r="J31" s="32">
        <f>IF(I31=0,"—",_xlfn.MINIFS(Cotações!$J$2:$J$2,Cotações!$E$2:$E$2,$A31))</f>
        <v/>
      </c>
      <c r="K31" s="17">
        <f>IF(I31=0,"—",IFERROR(INDEX(Cotações!$H$2:$H$2,MATCH(1,INDEX((Cotações!$E$2:$E$2=$A31)*(Cotações!$J$2:$J$2=J31),0),0)),""))</f>
        <v/>
      </c>
      <c r="L31" s="18">
        <f>IF(I31=0,"—",IFERROR(J31*H31,""))</f>
        <v/>
      </c>
      <c r="M31" s="16" t="inlineStr">
        <is>
          <t>ramais quentes + anel de recirculação</t>
        </is>
      </c>
    </row>
    <row r="32">
      <c r="A32" s="21" t="inlineStr">
        <is>
          <t>IT029</t>
        </is>
      </c>
      <c r="B32" s="22" t="inlineStr">
        <is>
          <t>Hidráulica</t>
        </is>
      </c>
      <c r="C32" s="22" t="inlineStr">
        <is>
          <t>material</t>
        </is>
      </c>
      <c r="D32" s="22" t="n">
        <v>8</v>
      </c>
      <c r="E32" s="21" t="inlineStr">
        <is>
          <t>Isolamento térmico p/ PEX 20 mm</t>
        </is>
      </c>
      <c r="F32" s="21" t="inlineStr">
        <is>
          <t>polietileno exp. 10 mm parede</t>
        </is>
      </c>
      <c r="G32" s="21" t="inlineStr">
        <is>
          <t>m</t>
        </is>
      </c>
      <c r="H32" s="29" t="n">
        <v>75</v>
      </c>
      <c r="I32" s="21">
        <f>COUNTIFS(Cotações!$E$2:$E$2,$A32)</f>
        <v/>
      </c>
      <c r="J32" s="30">
        <f>IF(I32=0,"—",_xlfn.MINIFS(Cotações!$J$2:$J$2,Cotações!$E$2:$E$2,$A32))</f>
        <v/>
      </c>
      <c r="K32" s="22">
        <f>IF(I32=0,"—",IFERROR(INDEX(Cotações!$H$2:$H$2,MATCH(1,INDEX((Cotações!$E$2:$E$2=$A32)*(Cotações!$J$2:$J$2=J32),0),0)),""))</f>
        <v/>
      </c>
      <c r="L32" s="23">
        <f>IF(I32=0,"—",IFERROR(J32*H32,""))</f>
        <v/>
      </c>
      <c r="M32" s="21" t="inlineStr">
        <is>
          <t>obrigatório em 100% da linha quente</t>
        </is>
      </c>
    </row>
    <row r="33">
      <c r="A33" s="16" t="inlineStr">
        <is>
          <t>IT030</t>
        </is>
      </c>
      <c r="B33" s="17" t="inlineStr">
        <is>
          <t>Hidráulica</t>
        </is>
      </c>
      <c r="C33" s="17" t="inlineStr">
        <is>
          <t>material</t>
        </is>
      </c>
      <c r="D33" s="17" t="n">
        <v>8</v>
      </c>
      <c r="E33" s="16" t="inlineStr">
        <is>
          <t>Tubo PEX 16/20 mm (água fria)</t>
        </is>
      </c>
      <c r="F33" s="16" t="inlineStr">
        <is>
          <t>PEX-A</t>
        </is>
      </c>
      <c r="G33" s="16" t="inlineStr">
        <is>
          <t>m</t>
        </is>
      </c>
      <c r="H33" s="31" t="n">
        <v>100</v>
      </c>
      <c r="I33" s="16">
        <f>COUNTIFS(Cotações!$E$2:$E$2,$A33)</f>
        <v/>
      </c>
      <c r="J33" s="32">
        <f>IF(I33=0,"—",_xlfn.MINIFS(Cotações!$J$2:$J$2,Cotações!$E$2:$E$2,$A33))</f>
        <v/>
      </c>
      <c r="K33" s="17">
        <f>IF(I33=0,"—",IFERROR(INDEX(Cotações!$H$2:$H$2,MATCH(1,INDEX((Cotações!$E$2:$E$2=$A33)*(Cotações!$J$2:$J$2=J33),0),0)),""))</f>
        <v/>
      </c>
      <c r="L33" s="18">
        <f>IF(I33=0,"—",IFERROR(J33*H33,""))</f>
        <v/>
      </c>
      <c r="M33" s="16" t="inlineStr">
        <is>
          <t>ramais frios ponto a ponto (manifold)</t>
        </is>
      </c>
    </row>
    <row r="34">
      <c r="A34" s="21" t="inlineStr">
        <is>
          <t>IT031</t>
        </is>
      </c>
      <c r="B34" s="22" t="inlineStr">
        <is>
          <t>Hidráulica</t>
        </is>
      </c>
      <c r="C34" s="22" t="inlineStr">
        <is>
          <t>material</t>
        </is>
      </c>
      <c r="D34" s="22" t="n">
        <v>8</v>
      </c>
      <c r="E34" s="21" t="inlineStr">
        <is>
          <t>Tubo PPR PN25 32 mm</t>
        </is>
      </c>
      <c r="F34" s="21" t="inlineStr">
        <is>
          <t>barrilete caixa→pressurizador→manifolds/boiler</t>
        </is>
      </c>
      <c r="G34" s="21" t="inlineStr">
        <is>
          <t>m</t>
        </is>
      </c>
      <c r="H34" s="29" t="n">
        <v>18</v>
      </c>
      <c r="I34" s="21">
        <f>COUNTIFS(Cotações!$E$2:$E$2,$A34)</f>
        <v/>
      </c>
      <c r="J34" s="30">
        <f>IF(I34=0,"—",_xlfn.MINIFS(Cotações!$J$2:$J$2,Cotações!$E$2:$E$2,$A34))</f>
        <v/>
      </c>
      <c r="K34" s="22">
        <f>IF(I34=0,"—",IFERROR(INDEX(Cotações!$H$2:$H$2,MATCH(1,INDEX((Cotações!$E$2:$E$2=$A34)*(Cotações!$J$2:$J$2=J34),0),0)),""))</f>
        <v/>
      </c>
      <c r="L34" s="23">
        <f>IF(I34=0,"—",IFERROR(J34*H34,""))</f>
        <v/>
      </c>
      <c r="M34" s="21" t="inlineStr"/>
    </row>
    <row r="35">
      <c r="A35" s="16" t="inlineStr">
        <is>
          <t>IT032</t>
        </is>
      </c>
      <c r="B35" s="17" t="inlineStr">
        <is>
          <t>Hidráulica</t>
        </is>
      </c>
      <c r="C35" s="17" t="inlineStr">
        <is>
          <t>material</t>
        </is>
      </c>
      <c r="D35" s="17" t="n">
        <v>8</v>
      </c>
      <c r="E35" s="16" t="inlineStr">
        <is>
          <t>Tubo PPR PN25 28 mm</t>
        </is>
      </c>
      <c r="F35" s="16" t="inlineStr">
        <is>
          <t>circuito bomba de calor ↔ boiler</t>
        </is>
      </c>
      <c r="G35" s="16" t="inlineStr">
        <is>
          <t>m</t>
        </is>
      </c>
      <c r="H35" s="31" t="n">
        <v>8</v>
      </c>
      <c r="I35" s="16">
        <f>COUNTIFS(Cotações!$E$2:$E$2,$A35)</f>
        <v/>
      </c>
      <c r="J35" s="32">
        <f>IF(I35=0,"—",_xlfn.MINIFS(Cotações!$J$2:$J$2,Cotações!$E$2:$E$2,$A35))</f>
        <v/>
      </c>
      <c r="K35" s="17">
        <f>IF(I35=0,"—",IFERROR(INDEX(Cotações!$H$2:$H$2,MATCH(1,INDEX((Cotações!$E$2:$E$2=$A35)*(Cotações!$J$2:$J$2=J35),0),0)),""))</f>
        <v/>
      </c>
      <c r="L35" s="18">
        <f>IF(I35=0,"—",IFERROR(J35*H35,""))</f>
        <v/>
      </c>
      <c r="M35" s="16" t="inlineStr">
        <is>
          <t>isolar também</t>
        </is>
      </c>
    </row>
    <row r="36">
      <c r="A36" s="21" t="inlineStr">
        <is>
          <t>IT033</t>
        </is>
      </c>
      <c r="B36" s="22" t="inlineStr">
        <is>
          <t>Hidráulica</t>
        </is>
      </c>
      <c r="C36" s="22" t="inlineStr">
        <is>
          <t>material</t>
        </is>
      </c>
      <c r="D36" s="22" t="n">
        <v>8</v>
      </c>
      <c r="E36" s="21" t="inlineStr">
        <is>
          <t>Isolamento p/ PPR 28/32 mm</t>
        </is>
      </c>
      <c r="F36" s="21" t="inlineStr">
        <is>
          <t>polietileno exp.</t>
        </is>
      </c>
      <c r="G36" s="21" t="inlineStr">
        <is>
          <t>m</t>
        </is>
      </c>
      <c r="H36" s="29" t="n">
        <v>26</v>
      </c>
      <c r="I36" s="21">
        <f>COUNTIFS(Cotações!$E$2:$E$2,$A36)</f>
        <v/>
      </c>
      <c r="J36" s="30">
        <f>IF(I36=0,"—",_xlfn.MINIFS(Cotações!$J$2:$J$2,Cotações!$E$2:$E$2,$A36))</f>
        <v/>
      </c>
      <c r="K36" s="22">
        <f>IF(I36=0,"—",IFERROR(INDEX(Cotações!$H$2:$H$2,MATCH(1,INDEX((Cotações!$E$2:$E$2=$A36)*(Cotações!$J$2:$J$2=J36),0),0)),""))</f>
        <v/>
      </c>
      <c r="L36" s="23">
        <f>IF(I36=0,"—",IFERROR(J36*H36,""))</f>
        <v/>
      </c>
      <c r="M36" s="21" t="inlineStr"/>
    </row>
    <row r="37">
      <c r="A37" s="16" t="inlineStr">
        <is>
          <t>IT034</t>
        </is>
      </c>
      <c r="B37" s="17" t="inlineStr">
        <is>
          <t>Hidráulica</t>
        </is>
      </c>
      <c r="C37" s="17" t="inlineStr">
        <is>
          <t>material</t>
        </is>
      </c>
      <c r="D37" s="17" t="n">
        <v>8</v>
      </c>
      <c r="E37" s="16" t="inlineStr">
        <is>
          <t>Tubo PVC soldável 25 mm</t>
        </is>
      </c>
      <c r="F37" s="16" t="inlineStr">
        <is>
          <t>alimentação da caixa + torneiras jardim/garagem</t>
        </is>
      </c>
      <c r="G37" s="16" t="inlineStr">
        <is>
          <t>m</t>
        </is>
      </c>
      <c r="H37" s="31" t="n">
        <v>20</v>
      </c>
      <c r="I37" s="16">
        <f>COUNTIFS(Cotações!$E$2:$E$2,$A37)</f>
        <v/>
      </c>
      <c r="J37" s="32">
        <f>IF(I37=0,"—",_xlfn.MINIFS(Cotações!$J$2:$J$2,Cotações!$E$2:$E$2,$A37))</f>
        <v/>
      </c>
      <c r="K37" s="17">
        <f>IF(I37=0,"—",IFERROR(INDEX(Cotações!$H$2:$H$2,MATCH(1,INDEX((Cotações!$E$2:$E$2=$A37)*(Cotações!$J$2:$J$2=J37),0),0)),""))</f>
        <v/>
      </c>
      <c r="L37" s="18">
        <f>IF(I37=0,"—",IFERROR(J37*H37,""))</f>
        <v/>
      </c>
      <c r="M37" s="16" t="inlineStr"/>
    </row>
    <row r="38">
      <c r="A38" s="21" t="inlineStr">
        <is>
          <t>IT035</t>
        </is>
      </c>
      <c r="B38" s="22" t="inlineStr">
        <is>
          <t>Hidráulica</t>
        </is>
      </c>
      <c r="C38" s="22" t="inlineStr">
        <is>
          <t>material</t>
        </is>
      </c>
      <c r="D38" s="22" t="n">
        <v>8</v>
      </c>
      <c r="E38" s="21" t="inlineStr">
        <is>
          <t>Tubo PVC esgoto 100 mm</t>
        </is>
      </c>
      <c r="F38" s="21" t="inlineStr">
        <is>
          <t>prumadas de vasos + ventilação</t>
        </is>
      </c>
      <c r="G38" s="21" t="inlineStr">
        <is>
          <t>m</t>
        </is>
      </c>
      <c r="H38" s="29" t="n">
        <v>22</v>
      </c>
      <c r="I38" s="21">
        <f>COUNTIFS(Cotações!$E$2:$E$2,$A38)</f>
        <v/>
      </c>
      <c r="J38" s="30">
        <f>IF(I38=0,"—",_xlfn.MINIFS(Cotações!$J$2:$J$2,Cotações!$E$2:$E$2,$A38))</f>
        <v/>
      </c>
      <c r="K38" s="22">
        <f>IF(I38=0,"—",IFERROR(INDEX(Cotações!$H$2:$H$2,MATCH(1,INDEX((Cotações!$E$2:$E$2=$A38)*(Cotações!$J$2:$J$2=J38),0),0)),""))</f>
        <v/>
      </c>
      <c r="L38" s="23">
        <f>IF(I38=0,"—",IFERROR(J38*H38,""))</f>
        <v/>
      </c>
      <c r="M38" s="21" t="inlineStr">
        <is>
          <t>2 prumadas + coletor</t>
        </is>
      </c>
    </row>
    <row r="39">
      <c r="A39" s="16" t="inlineStr">
        <is>
          <t>IT036</t>
        </is>
      </c>
      <c r="B39" s="17" t="inlineStr">
        <is>
          <t>Hidráulica</t>
        </is>
      </c>
      <c r="C39" s="17" t="inlineStr">
        <is>
          <t>material</t>
        </is>
      </c>
      <c r="D39" s="17" t="n">
        <v>8</v>
      </c>
      <c r="E39" s="16" t="inlineStr">
        <is>
          <t>Tubo PVC esgoto 50 mm</t>
        </is>
      </c>
      <c r="F39" s="16" t="inlineStr">
        <is>
          <t>chuveiros, ralos, tanque, máquina</t>
        </is>
      </c>
      <c r="G39" s="16" t="inlineStr">
        <is>
          <t>m</t>
        </is>
      </c>
      <c r="H39" s="31" t="n">
        <v>25</v>
      </c>
      <c r="I39" s="16">
        <f>COUNTIFS(Cotações!$E$2:$E$2,$A39)</f>
        <v/>
      </c>
      <c r="J39" s="32">
        <f>IF(I39=0,"—",_xlfn.MINIFS(Cotações!$J$2:$J$2,Cotações!$E$2:$E$2,$A39))</f>
        <v/>
      </c>
      <c r="K39" s="17">
        <f>IF(I39=0,"—",IFERROR(INDEX(Cotações!$H$2:$H$2,MATCH(1,INDEX((Cotações!$E$2:$E$2=$A39)*(Cotações!$J$2:$J$2=J39),0),0)),""))</f>
        <v/>
      </c>
      <c r="L39" s="18">
        <f>IF(I39=0,"—",IFERROR(J39*H39,""))</f>
        <v/>
      </c>
      <c r="M39" s="16" t="inlineStr"/>
    </row>
    <row r="40">
      <c r="A40" s="21" t="inlineStr">
        <is>
          <t>IT037</t>
        </is>
      </c>
      <c r="B40" s="22" t="inlineStr">
        <is>
          <t>Hidráulica</t>
        </is>
      </c>
      <c r="C40" s="22" t="inlineStr">
        <is>
          <t>material</t>
        </is>
      </c>
      <c r="D40" s="22" t="n">
        <v>8</v>
      </c>
      <c r="E40" s="21" t="inlineStr">
        <is>
          <t>Tubo PVC esgoto 40 mm</t>
        </is>
      </c>
      <c r="F40" s="21" t="inlineStr">
        <is>
          <t>lavatórios, pias, dreno boiler/copa</t>
        </is>
      </c>
      <c r="G40" s="21" t="inlineStr">
        <is>
          <t>m</t>
        </is>
      </c>
      <c r="H40" s="29" t="n">
        <v>15</v>
      </c>
      <c r="I40" s="21">
        <f>COUNTIFS(Cotações!$E$2:$E$2,$A40)</f>
        <v/>
      </c>
      <c r="J40" s="30">
        <f>IF(I40=0,"—",_xlfn.MINIFS(Cotações!$J$2:$J$2,Cotações!$E$2:$E$2,$A40))</f>
        <v/>
      </c>
      <c r="K40" s="22">
        <f>IF(I40=0,"—",IFERROR(INDEX(Cotações!$H$2:$H$2,MATCH(1,INDEX((Cotações!$E$2:$E$2=$A40)*(Cotações!$J$2:$J$2=J40),0),0)),""))</f>
        <v/>
      </c>
      <c r="L40" s="23">
        <f>IF(I40=0,"—",IFERROR(J40*H40,""))</f>
        <v/>
      </c>
      <c r="M40" s="21" t="inlineStr"/>
    </row>
    <row r="41">
      <c r="A41" s="16" t="inlineStr">
        <is>
          <t>IT038</t>
        </is>
      </c>
      <c r="B41" s="17" t="inlineStr">
        <is>
          <t>Hidráulica</t>
        </is>
      </c>
      <c r="C41" s="17" t="inlineStr">
        <is>
          <t>material</t>
        </is>
      </c>
      <c r="D41" s="17" t="n">
        <v>8</v>
      </c>
      <c r="E41" s="16" t="inlineStr">
        <is>
          <t>Tubo PVC pluvial 88 mm</t>
        </is>
      </c>
      <c r="F41" s="16" t="inlineStr">
        <is>
          <t>condutores das calhas</t>
        </is>
      </c>
      <c r="G41" s="16" t="inlineStr">
        <is>
          <t>m</t>
        </is>
      </c>
      <c r="H41" s="31" t="n">
        <v>12</v>
      </c>
      <c r="I41" s="16">
        <f>COUNTIFS(Cotações!$E$2:$E$2,$A41)</f>
        <v/>
      </c>
      <c r="J41" s="32">
        <f>IF(I41=0,"—",_xlfn.MINIFS(Cotações!$J$2:$J$2,Cotações!$E$2:$E$2,$A41))</f>
        <v/>
      </c>
      <c r="K41" s="17">
        <f>IF(I41=0,"—",IFERROR(INDEX(Cotações!$H$2:$H$2,MATCH(1,INDEX((Cotações!$E$2:$E$2=$A41)*(Cotações!$J$2:$J$2=J41),0),0)),""))</f>
        <v/>
      </c>
      <c r="L41" s="18">
        <f>IF(I41=0,"—",IFERROR(J41*H41,""))</f>
        <v/>
      </c>
      <c r="M41" s="16" t="inlineStr">
        <is>
          <t>2 descidas</t>
        </is>
      </c>
    </row>
    <row r="42">
      <c r="A42" s="21" t="inlineStr">
        <is>
          <t>IT039</t>
        </is>
      </c>
      <c r="B42" s="22" t="inlineStr">
        <is>
          <t>Hidráulica</t>
        </is>
      </c>
      <c r="C42" s="22" t="inlineStr">
        <is>
          <t>material</t>
        </is>
      </c>
      <c r="D42" s="22" t="n">
        <v>8</v>
      </c>
      <c r="E42" s="21" t="inlineStr">
        <is>
          <t>Conexões esgoto/pluvial (kit)</t>
        </is>
      </c>
      <c r="F42" s="21" t="inlineStr">
        <is>
          <t>joelhos, tês, junções, terminais vent.</t>
        </is>
      </c>
      <c r="G42" s="21" t="inlineStr">
        <is>
          <t>un</t>
        </is>
      </c>
      <c r="H42" s="29" t="n">
        <v>45</v>
      </c>
      <c r="I42" s="21">
        <f>COUNTIFS(Cotações!$E$2:$E$2,$A42)</f>
        <v/>
      </c>
      <c r="J42" s="30">
        <f>IF(I42=0,"—",_xlfn.MINIFS(Cotações!$J$2:$J$2,Cotações!$E$2:$E$2,$A42))</f>
        <v/>
      </c>
      <c r="K42" s="22">
        <f>IF(I42=0,"—",IFERROR(INDEX(Cotações!$H$2:$H$2,MATCH(1,INDEX((Cotações!$E$2:$E$2=$A42)*(Cotações!$J$2:$J$2=J42),0),0)),""))</f>
        <v/>
      </c>
      <c r="L42" s="23">
        <f>IF(I42=0,"—",IFERROR(J42*H42,""))</f>
        <v/>
      </c>
      <c r="M42" s="21" t="inlineStr"/>
    </row>
    <row r="43">
      <c r="A43" s="16" t="inlineStr">
        <is>
          <t>IT040</t>
        </is>
      </c>
      <c r="B43" s="17" t="inlineStr">
        <is>
          <t>Hidráulica</t>
        </is>
      </c>
      <c r="C43" s="17" t="inlineStr">
        <is>
          <t>material</t>
        </is>
      </c>
      <c r="D43" s="17" t="n">
        <v>8</v>
      </c>
      <c r="E43" s="16" t="inlineStr">
        <is>
          <t>Caixa sifonada 150 mm</t>
        </is>
      </c>
      <c r="F43" s="16" t="inlineStr"/>
      <c r="G43" s="16" t="inlineStr">
        <is>
          <t>un</t>
        </is>
      </c>
      <c r="H43" s="31" t="n">
        <v>5</v>
      </c>
      <c r="I43" s="16">
        <f>COUNTIFS(Cotações!$E$2:$E$2,$A43)</f>
        <v/>
      </c>
      <c r="J43" s="32">
        <f>IF(I43=0,"—",_xlfn.MINIFS(Cotações!$J$2:$J$2,Cotações!$E$2:$E$2,$A43))</f>
        <v/>
      </c>
      <c r="K43" s="17">
        <f>IF(I43=0,"—",IFERROR(INDEX(Cotações!$H$2:$H$2,MATCH(1,INDEX((Cotações!$E$2:$E$2=$A43)*(Cotações!$J$2:$J$2=J43),0),0)),""))</f>
        <v/>
      </c>
      <c r="L43" s="18">
        <f>IF(I43=0,"—",IFERROR(J43*H43,""))</f>
        <v/>
      </c>
      <c r="M43" s="16" t="inlineStr">
        <is>
          <t>banheiros, lavanderia, copa</t>
        </is>
      </c>
    </row>
    <row r="44">
      <c r="A44" s="21" t="inlineStr">
        <is>
          <t>IT041</t>
        </is>
      </c>
      <c r="B44" s="22" t="inlineStr">
        <is>
          <t>Hidráulica</t>
        </is>
      </c>
      <c r="C44" s="22" t="inlineStr">
        <is>
          <t>material</t>
        </is>
      </c>
      <c r="D44" s="22" t="n">
        <v>8</v>
      </c>
      <c r="E44" s="21" t="inlineStr">
        <is>
          <t>Ralo linear oculto (inox)</t>
        </is>
      </c>
      <c r="F44" s="21" t="inlineStr">
        <is>
          <t>banheiros sem box — sob carpete de pedra drenante</t>
        </is>
      </c>
      <c r="G44" s="21" t="inlineStr">
        <is>
          <t>un</t>
        </is>
      </c>
      <c r="H44" s="29" t="n">
        <v>3</v>
      </c>
      <c r="I44" s="21">
        <f>COUNTIFS(Cotações!$E$2:$E$2,$A44)</f>
        <v/>
      </c>
      <c r="J44" s="30">
        <f>IF(I44=0,"—",_xlfn.MINIFS(Cotações!$J$2:$J$2,Cotações!$E$2:$E$2,$A44))</f>
        <v/>
      </c>
      <c r="K44" s="22">
        <f>IF(I44=0,"—",IFERROR(INDEX(Cotações!$H$2:$H$2,MATCH(1,INDEX((Cotações!$E$2:$E$2=$A44)*(Cotações!$J$2:$J$2=J44),0),0)),""))</f>
        <v/>
      </c>
      <c r="L44" s="23">
        <f>IF(I44=0,"—",IFERROR(J44*H44,""))</f>
        <v/>
      </c>
      <c r="M44" s="21" t="inlineStr">
        <is>
          <t>suíte, banheiro do quarto e banheiro do térreo · o lavabo do térreo não leva ralo linear</t>
        </is>
      </c>
    </row>
    <row r="45">
      <c r="A45" s="16" t="inlineStr">
        <is>
          <t>IT042</t>
        </is>
      </c>
      <c r="B45" s="17" t="inlineStr">
        <is>
          <t>Hidráulica</t>
        </is>
      </c>
      <c r="C45" s="17" t="inlineStr">
        <is>
          <t>material</t>
        </is>
      </c>
      <c r="D45" s="17" t="n">
        <v>8</v>
      </c>
      <c r="E45" s="16" t="inlineStr">
        <is>
          <t>Caixa de gordura</t>
        </is>
      </c>
      <c r="F45" s="16" t="inlineStr">
        <is>
          <t>cozinha</t>
        </is>
      </c>
      <c r="G45" s="16" t="inlineStr">
        <is>
          <t>un</t>
        </is>
      </c>
      <c r="H45" s="31" t="n">
        <v>1</v>
      </c>
      <c r="I45" s="16">
        <f>COUNTIFS(Cotações!$E$2:$E$2,$A45)</f>
        <v/>
      </c>
      <c r="J45" s="32">
        <f>IF(I45=0,"—",_xlfn.MINIFS(Cotações!$J$2:$J$2,Cotações!$E$2:$E$2,$A45))</f>
        <v/>
      </c>
      <c r="K45" s="17">
        <f>IF(I45=0,"—",IFERROR(INDEX(Cotações!$H$2:$H$2,MATCH(1,INDEX((Cotações!$E$2:$E$2=$A45)*(Cotações!$J$2:$J$2=J45),0),0)),""))</f>
        <v/>
      </c>
      <c r="L45" s="18">
        <f>IF(I45=0,"—",IFERROR(J45*H45,""))</f>
        <v/>
      </c>
      <c r="M45" s="16" t="inlineStr"/>
    </row>
    <row r="46">
      <c r="A46" s="21" t="inlineStr">
        <is>
          <t>IT043</t>
        </is>
      </c>
      <c r="B46" s="22" t="inlineStr">
        <is>
          <t>Hidráulica</t>
        </is>
      </c>
      <c r="C46" s="22" t="inlineStr">
        <is>
          <t>material</t>
        </is>
      </c>
      <c r="D46" s="22" t="n">
        <v>8</v>
      </c>
      <c r="E46" s="21" t="inlineStr">
        <is>
          <t>Caixa de inspeção esgoto</t>
        </is>
      </c>
      <c r="F46" s="21" t="inlineStr"/>
      <c r="G46" s="21" t="inlineStr">
        <is>
          <t>un</t>
        </is>
      </c>
      <c r="H46" s="29" t="n">
        <v>2</v>
      </c>
      <c r="I46" s="21">
        <f>COUNTIFS(Cotações!$E$2:$E$2,$A46)</f>
        <v/>
      </c>
      <c r="J46" s="30">
        <f>IF(I46=0,"—",_xlfn.MINIFS(Cotações!$J$2:$J$2,Cotações!$E$2:$E$2,$A46))</f>
        <v/>
      </c>
      <c r="K46" s="22">
        <f>IF(I46=0,"—",IFERROR(INDEX(Cotações!$H$2:$H$2,MATCH(1,INDEX((Cotações!$E$2:$E$2=$A46)*(Cotações!$J$2:$J$2=J46),0),0)),""))</f>
        <v/>
      </c>
      <c r="L46" s="23">
        <f>IF(I46=0,"—",IFERROR(J46*H46,""))</f>
        <v/>
      </c>
      <c r="M46" s="21" t="inlineStr">
        <is>
          <t>quintal → rede do condomínio</t>
        </is>
      </c>
    </row>
    <row r="47">
      <c r="A47" s="16" t="inlineStr">
        <is>
          <t>IT044</t>
        </is>
      </c>
      <c r="B47" s="17" t="inlineStr">
        <is>
          <t>Hidráulica</t>
        </is>
      </c>
      <c r="C47" s="17" t="inlineStr">
        <is>
          <t>material</t>
        </is>
      </c>
      <c r="D47" s="17" t="n">
        <v>8</v>
      </c>
      <c r="E47" s="16" t="inlineStr">
        <is>
          <t>Manifold água fria c/ registros</t>
        </is>
      </c>
      <c r="F47" s="16" t="inlineStr">
        <is>
          <t>12 saídas, latão/inox</t>
        </is>
      </c>
      <c r="G47" s="16" t="inlineStr">
        <is>
          <t>un</t>
        </is>
      </c>
      <c r="H47" s="31" t="n">
        <v>1</v>
      </c>
      <c r="I47" s="16">
        <f>COUNTIFS(Cotações!$E$2:$E$2,$A47)</f>
        <v/>
      </c>
      <c r="J47" s="32">
        <f>IF(I47=0,"—",_xlfn.MINIFS(Cotações!$J$2:$J$2,Cotações!$E$2:$E$2,$A47))</f>
        <v/>
      </c>
      <c r="K47" s="17">
        <f>IF(I47=0,"—",IFERROR(INDEX(Cotações!$H$2:$H$2,MATCH(1,INDEX((Cotações!$E$2:$E$2=$A47)*(Cotações!$J$2:$J$2=J47),0),0)),""))</f>
        <v/>
      </c>
      <c r="L47" s="18">
        <f>IF(I47=0,"—",IFERROR(J47*H47,""))</f>
        <v/>
      </c>
      <c r="M47" s="16" t="inlineStr">
        <is>
          <t>na área técnica</t>
        </is>
      </c>
    </row>
    <row r="48">
      <c r="A48" s="21" t="inlineStr">
        <is>
          <t>IT045</t>
        </is>
      </c>
      <c r="B48" s="22" t="inlineStr">
        <is>
          <t>Hidráulica</t>
        </is>
      </c>
      <c r="C48" s="22" t="inlineStr">
        <is>
          <t>material</t>
        </is>
      </c>
      <c r="D48" s="22" t="n">
        <v>8</v>
      </c>
      <c r="E48" s="21" t="inlineStr">
        <is>
          <t>Manifold água quente c/ registros</t>
        </is>
      </c>
      <c r="F48" s="21" t="inlineStr">
        <is>
          <t>8 saídas</t>
        </is>
      </c>
      <c r="G48" s="21" t="inlineStr">
        <is>
          <t>un</t>
        </is>
      </c>
      <c r="H48" s="29" t="n">
        <v>1</v>
      </c>
      <c r="I48" s="21">
        <f>COUNTIFS(Cotações!$E$2:$E$2,$A48)</f>
        <v/>
      </c>
      <c r="J48" s="30">
        <f>IF(I48=0,"—",_xlfn.MINIFS(Cotações!$J$2:$J$2,Cotações!$E$2:$E$2,$A48))</f>
        <v/>
      </c>
      <c r="K48" s="22">
        <f>IF(I48=0,"—",IFERROR(INDEX(Cotações!$H$2:$H$2,MATCH(1,INDEX((Cotações!$E$2:$E$2=$A48)*(Cotações!$J$2:$J$2=J48),0),0)),""))</f>
        <v/>
      </c>
      <c r="L48" s="23">
        <f>IF(I48=0,"—",IFERROR(J48*H48,""))</f>
        <v/>
      </c>
      <c r="M48" s="21" t="inlineStr"/>
    </row>
    <row r="49">
      <c r="A49" s="16" t="inlineStr">
        <is>
          <t>IT046</t>
        </is>
      </c>
      <c r="B49" s="17" t="inlineStr">
        <is>
          <t>Hidráulica</t>
        </is>
      </c>
      <c r="C49" s="17" t="inlineStr">
        <is>
          <t>material</t>
        </is>
      </c>
      <c r="D49" s="17" t="n">
        <v>8</v>
      </c>
      <c r="E49" s="16" t="inlineStr">
        <is>
          <t>Conexões PEX</t>
        </is>
      </c>
      <c r="F49" s="16" t="inlineStr">
        <is>
          <t>joelhos, tês, adaptadores de engate</t>
        </is>
      </c>
      <c r="G49" s="16" t="inlineStr">
        <is>
          <t>un</t>
        </is>
      </c>
      <c r="H49" s="31" t="n">
        <v>60</v>
      </c>
      <c r="I49" s="16">
        <f>COUNTIFS(Cotações!$E$2:$E$2,$A49)</f>
        <v/>
      </c>
      <c r="J49" s="32">
        <f>IF(I49=0,"—",_xlfn.MINIFS(Cotações!$J$2:$J$2,Cotações!$E$2:$E$2,$A49))</f>
        <v/>
      </c>
      <c r="K49" s="17">
        <f>IF(I49=0,"—",IFERROR(INDEX(Cotações!$H$2:$H$2,MATCH(1,INDEX((Cotações!$E$2:$E$2=$A49)*(Cotações!$J$2:$J$2=J49),0),0)),""))</f>
        <v/>
      </c>
      <c r="L49" s="18">
        <f>IF(I49=0,"—",IFERROR(J49*H49,""))</f>
        <v/>
      </c>
      <c r="M49" s="16" t="inlineStr"/>
    </row>
    <row r="50">
      <c r="A50" s="21" t="inlineStr">
        <is>
          <t>IT047</t>
        </is>
      </c>
      <c r="B50" s="22" t="inlineStr">
        <is>
          <t>Hidráulica</t>
        </is>
      </c>
      <c r="C50" s="22" t="inlineStr">
        <is>
          <t>material</t>
        </is>
      </c>
      <c r="D50" s="22" t="n">
        <v>8</v>
      </c>
      <c r="E50" s="21" t="inlineStr">
        <is>
          <t>Conexões PPR diversas</t>
        </is>
      </c>
      <c r="F50" s="21" t="inlineStr">
        <is>
          <t>joelhos, tês, luvas, uniões</t>
        </is>
      </c>
      <c r="G50" s="21" t="inlineStr">
        <is>
          <t>un</t>
        </is>
      </c>
      <c r="H50" s="29" t="n">
        <v>35</v>
      </c>
      <c r="I50" s="21">
        <f>COUNTIFS(Cotações!$E$2:$E$2,$A50)</f>
        <v/>
      </c>
      <c r="J50" s="30">
        <f>IF(I50=0,"—",_xlfn.MINIFS(Cotações!$J$2:$J$2,Cotações!$E$2:$E$2,$A50))</f>
        <v/>
      </c>
      <c r="K50" s="22">
        <f>IF(I50=0,"—",IFERROR(INDEX(Cotações!$H$2:$H$2,MATCH(1,INDEX((Cotações!$E$2:$E$2=$A50)*(Cotações!$J$2:$J$2=J50),0),0)),""))</f>
        <v/>
      </c>
      <c r="L50" s="23">
        <f>IF(I50=0,"—",IFERROR(J50*H50,""))</f>
        <v/>
      </c>
      <c r="M50" s="21" t="inlineStr"/>
    </row>
    <row r="51">
      <c r="A51" s="16" t="inlineStr">
        <is>
          <t>IT048</t>
        </is>
      </c>
      <c r="B51" s="17" t="inlineStr">
        <is>
          <t>Hidráulica</t>
        </is>
      </c>
      <c r="C51" s="17" t="inlineStr">
        <is>
          <t>material</t>
        </is>
      </c>
      <c r="D51" s="17" t="n">
        <v>8</v>
      </c>
      <c r="E51" s="16" t="inlineStr">
        <is>
          <t>Registro de esfera metálico 3/4"</t>
        </is>
      </c>
      <c r="F51" s="16" t="inlineStr"/>
      <c r="G51" s="16" t="inlineStr">
        <is>
          <t>un</t>
        </is>
      </c>
      <c r="H51" s="31" t="n">
        <v>12</v>
      </c>
      <c r="I51" s="16">
        <f>COUNTIFS(Cotações!$E$2:$E$2,$A51)</f>
        <v/>
      </c>
      <c r="J51" s="32">
        <f>IF(I51=0,"—",_xlfn.MINIFS(Cotações!$J$2:$J$2,Cotações!$E$2:$E$2,$A51))</f>
        <v/>
      </c>
      <c r="K51" s="17">
        <f>IF(I51=0,"—",IFERROR(INDEX(Cotações!$H$2:$H$2,MATCH(1,INDEX((Cotações!$E$2:$E$2=$A51)*(Cotações!$J$2:$J$2=J51),0),0)),""))</f>
        <v/>
      </c>
      <c r="L51" s="18">
        <f>IF(I51=0,"—",IFERROR(J51*H51,""))</f>
        <v/>
      </c>
      <c r="M51" s="16" t="inlineStr">
        <is>
          <t>setorização por ambiente</t>
        </is>
      </c>
    </row>
    <row r="52">
      <c r="A52" s="21" t="inlineStr">
        <is>
          <t>IT049</t>
        </is>
      </c>
      <c r="B52" s="22" t="inlineStr">
        <is>
          <t>Hidráulica</t>
        </is>
      </c>
      <c r="C52" s="22" t="inlineStr">
        <is>
          <t>material</t>
        </is>
      </c>
      <c r="D52" s="22" t="n">
        <v>8</v>
      </c>
      <c r="E52" s="21" t="inlineStr">
        <is>
          <t>Válvula de retenção</t>
        </is>
      </c>
      <c r="F52" s="21" t="inlineStr"/>
      <c r="G52" s="21" t="inlineStr">
        <is>
          <t>un</t>
        </is>
      </c>
      <c r="H52" s="29" t="n">
        <v>3</v>
      </c>
      <c r="I52" s="21">
        <f>COUNTIFS(Cotações!$E$2:$E$2,$A52)</f>
        <v/>
      </c>
      <c r="J52" s="30">
        <f>IF(I52=0,"—",_xlfn.MINIFS(Cotações!$J$2:$J$2,Cotações!$E$2:$E$2,$A52))</f>
        <v/>
      </c>
      <c r="K52" s="22">
        <f>IF(I52=0,"—",IFERROR(INDEX(Cotações!$H$2:$H$2,MATCH(1,INDEX((Cotações!$E$2:$E$2=$A52)*(Cotações!$J$2:$J$2=J52),0),0)),""))</f>
        <v/>
      </c>
      <c r="L52" s="23">
        <f>IF(I52=0,"—",IFERROR(J52*H52,""))</f>
        <v/>
      </c>
      <c r="M52" s="21" t="inlineStr">
        <is>
          <t>entrada caixa, fria, quente</t>
        </is>
      </c>
    </row>
    <row r="53">
      <c r="A53" s="16" t="inlineStr">
        <is>
          <t>IT050</t>
        </is>
      </c>
      <c r="B53" s="17" t="inlineStr">
        <is>
          <t>Hidráulica</t>
        </is>
      </c>
      <c r="C53" s="17" t="inlineStr">
        <is>
          <t>material</t>
        </is>
      </c>
      <c r="D53" s="17" t="n">
        <v>8</v>
      </c>
      <c r="E53" s="16" t="inlineStr">
        <is>
          <t>Misturadora termostática central</t>
        </is>
      </c>
      <c r="F53" s="16" t="inlineStr">
        <is>
          <t>saída do boiler, limite ~50 °C</t>
        </is>
      </c>
      <c r="G53" s="16" t="inlineStr">
        <is>
          <t>un</t>
        </is>
      </c>
      <c r="H53" s="31" t="n">
        <v>1</v>
      </c>
      <c r="I53" s="16">
        <f>COUNTIFS(Cotações!$E$2:$E$2,$A53)</f>
        <v/>
      </c>
      <c r="J53" s="32">
        <f>IF(I53=0,"—",_xlfn.MINIFS(Cotações!$J$2:$J$2,Cotações!$E$2:$E$2,$A53))</f>
        <v/>
      </c>
      <c r="K53" s="17">
        <f>IF(I53=0,"—",IFERROR(INDEX(Cotações!$H$2:$H$2,MATCH(1,INDEX((Cotações!$E$2:$E$2=$A53)*(Cotações!$J$2:$J$2=J53),0),0)),""))</f>
        <v/>
      </c>
      <c r="L53" s="18">
        <f>IF(I53=0,"—",IFERROR(J53*H53,""))</f>
        <v/>
      </c>
      <c r="M53" s="16" t="inlineStr">
        <is>
          <t>anti-escaldo</t>
        </is>
      </c>
    </row>
    <row r="54">
      <c r="A54" s="21" t="inlineStr">
        <is>
          <t>IT051</t>
        </is>
      </c>
      <c r="B54" s="22" t="inlineStr">
        <is>
          <t>Hidráulica</t>
        </is>
      </c>
      <c r="C54" s="22" t="inlineStr">
        <is>
          <t>material</t>
        </is>
      </c>
      <c r="D54" s="22" t="n">
        <v>8</v>
      </c>
      <c r="E54" s="21" t="inlineStr">
        <is>
          <t>Válvula de alívio P&amp;T + dreno conduzido</t>
        </is>
      </c>
      <c r="F54" s="21" t="inlineStr"/>
      <c r="G54" s="21" t="inlineStr">
        <is>
          <t>un</t>
        </is>
      </c>
      <c r="H54" s="29" t="n">
        <v>1</v>
      </c>
      <c r="I54" s="21">
        <f>COUNTIFS(Cotações!$E$2:$E$2,$A54)</f>
        <v/>
      </c>
      <c r="J54" s="30">
        <f>IF(I54=0,"—",_xlfn.MINIFS(Cotações!$J$2:$J$2,Cotações!$E$2:$E$2,$A54))</f>
        <v/>
      </c>
      <c r="K54" s="22">
        <f>IF(I54=0,"—",IFERROR(INDEX(Cotações!$H$2:$H$2,MATCH(1,INDEX((Cotações!$E$2:$E$2=$A54)*(Cotações!$J$2:$J$2=J54),0),0)),""))</f>
        <v/>
      </c>
      <c r="L54" s="23">
        <f>IF(I54=0,"—",IFERROR(J54*H54,""))</f>
        <v/>
      </c>
      <c r="M54" s="21" t="inlineStr">
        <is>
          <t>obrigatória no boiler</t>
        </is>
      </c>
    </row>
    <row r="55">
      <c r="A55" s="16" t="inlineStr">
        <is>
          <t>IT052</t>
        </is>
      </c>
      <c r="B55" s="17" t="inlineStr">
        <is>
          <t>Hidráulica</t>
        </is>
      </c>
      <c r="C55" s="17" t="inlineStr">
        <is>
          <t>material</t>
        </is>
      </c>
      <c r="D55" s="17" t="n">
        <v>8</v>
      </c>
      <c r="E55" s="16" t="inlineStr">
        <is>
          <t>Vaso de expansão água quente 18–24 L</t>
        </is>
      </c>
      <c r="F55" s="16" t="inlineStr"/>
      <c r="G55" s="16" t="inlineStr">
        <is>
          <t>un</t>
        </is>
      </c>
      <c r="H55" s="31" t="n">
        <v>1</v>
      </c>
      <c r="I55" s="16">
        <f>COUNTIFS(Cotações!$E$2:$E$2,$A55)</f>
        <v/>
      </c>
      <c r="J55" s="32">
        <f>IF(I55=0,"—",_xlfn.MINIFS(Cotações!$J$2:$J$2,Cotações!$E$2:$E$2,$A55))</f>
        <v/>
      </c>
      <c r="K55" s="17">
        <f>IF(I55=0,"—",IFERROR(INDEX(Cotações!$H$2:$H$2,MATCH(1,INDEX((Cotações!$E$2:$E$2=$A55)*(Cotações!$J$2:$J$2=J55),0),0)),""))</f>
        <v/>
      </c>
      <c r="L55" s="18">
        <f>IF(I55=0,"—",IFERROR(J55*H55,""))</f>
        <v/>
      </c>
      <c r="M55" s="16" t="inlineStr"/>
    </row>
    <row r="56">
      <c r="A56" s="21" t="inlineStr">
        <is>
          <t>IT053</t>
        </is>
      </c>
      <c r="B56" s="22" t="inlineStr">
        <is>
          <t>Hidráulica</t>
        </is>
      </c>
      <c r="C56" s="22" t="inlineStr">
        <is>
          <t>material</t>
        </is>
      </c>
      <c r="D56" s="22" t="n">
        <v>8</v>
      </c>
      <c r="E56" s="21" t="inlineStr">
        <is>
          <t>Filtro de entrada (cavalete)</t>
        </is>
      </c>
      <c r="F56" s="21" t="inlineStr"/>
      <c r="G56" s="21" t="inlineStr">
        <is>
          <t>un</t>
        </is>
      </c>
      <c r="H56" s="29" t="n">
        <v>1</v>
      </c>
      <c r="I56" s="21">
        <f>COUNTIFS(Cotações!$E$2:$E$2,$A56)</f>
        <v/>
      </c>
      <c r="J56" s="30">
        <f>IF(I56=0,"—",_xlfn.MINIFS(Cotações!$J$2:$J$2,Cotações!$E$2:$E$2,$A56))</f>
        <v/>
      </c>
      <c r="K56" s="22">
        <f>IF(I56=0,"—",IFERROR(INDEX(Cotações!$H$2:$H$2,MATCH(1,INDEX((Cotações!$E$2:$E$2=$A56)*(Cotações!$J$2:$J$2=J56),0),0)),""))</f>
        <v/>
      </c>
      <c r="L56" s="23">
        <f>IF(I56=0,"—",IFERROR(J56*H56,""))</f>
        <v/>
      </c>
      <c r="M56" s="21" t="inlineStr"/>
    </row>
    <row r="57">
      <c r="A57" s="16" t="inlineStr">
        <is>
          <t>IT054</t>
        </is>
      </c>
      <c r="B57" s="17" t="inlineStr">
        <is>
          <t>Hidráulica</t>
        </is>
      </c>
      <c r="C57" s="17" t="inlineStr">
        <is>
          <t>material</t>
        </is>
      </c>
      <c r="D57" s="17" t="n">
        <v>8</v>
      </c>
      <c r="E57" s="16" t="inlineStr">
        <is>
          <t>Bomba de calor AQS</t>
        </is>
      </c>
      <c r="F57" s="16" t="inlineStr">
        <is>
          <t>~5 kW térmico, COP ≥ 3,5, Wi-Fi</t>
        </is>
      </c>
      <c r="G57" s="16" t="inlineStr">
        <is>
          <t>un</t>
        </is>
      </c>
      <c r="H57" s="31" t="n">
        <v>1</v>
      </c>
      <c r="I57" s="16">
        <f>COUNTIFS(Cotações!$E$2:$E$2,$A57)</f>
        <v/>
      </c>
      <c r="J57" s="32">
        <f>IF(I57=0,"—",_xlfn.MINIFS(Cotações!$J$2:$J$2,Cotações!$E$2:$E$2,$A57))</f>
        <v/>
      </c>
      <c r="K57" s="17">
        <f>IF(I57=0,"—",IFERROR(INDEX(Cotações!$H$2:$H$2,MATCH(1,INDEX((Cotações!$E$2:$E$2=$A57)*(Cotações!$J$2:$J$2=J57),0),0)),""))</f>
        <v/>
      </c>
      <c r="L57" s="18">
        <f>IF(I57=0,"—",IFERROR(J57*H57,""))</f>
        <v/>
      </c>
      <c r="M57" s="16" t="inlineStr">
        <is>
          <t>unidade externa no poço de luz</t>
        </is>
      </c>
    </row>
    <row r="58">
      <c r="A58" s="21" t="inlineStr">
        <is>
          <t>IT055</t>
        </is>
      </c>
      <c r="B58" s="22" t="inlineStr">
        <is>
          <t>Hidráulica</t>
        </is>
      </c>
      <c r="C58" s="22" t="inlineStr">
        <is>
          <t>material</t>
        </is>
      </c>
      <c r="D58" s="22" t="n">
        <v>8</v>
      </c>
      <c r="E58" s="21" t="inlineStr">
        <is>
          <t>Boiler inox alta pressão 400 L</t>
        </is>
      </c>
      <c r="F58" s="21" t="inlineStr">
        <is>
          <t>c/ resistência de apoio e anodo</t>
        </is>
      </c>
      <c r="G58" s="21" t="inlineStr">
        <is>
          <t>un</t>
        </is>
      </c>
      <c r="H58" s="29" t="n">
        <v>1</v>
      </c>
      <c r="I58" s="21">
        <f>COUNTIFS(Cotações!$E$2:$E$2,$A58)</f>
        <v/>
      </c>
      <c r="J58" s="30">
        <f>IF(I58=0,"—",_xlfn.MINIFS(Cotações!$J$2:$J$2,Cotações!$E$2:$E$2,$A58))</f>
        <v/>
      </c>
      <c r="K58" s="22">
        <f>IF(I58=0,"—",IFERROR(INDEX(Cotações!$H$2:$H$2,MATCH(1,INDEX((Cotações!$E$2:$E$2=$A58)*(Cotações!$J$2:$J$2=J58),0),0)),""))</f>
        <v/>
      </c>
      <c r="L58" s="23">
        <f>IF(I58=0,"—",IFERROR(J58*H58,""))</f>
        <v/>
      </c>
      <c r="M58" s="21" t="inlineStr">
        <is>
          <t>na área técnica, c/ 60 cm livres</t>
        </is>
      </c>
    </row>
    <row r="59">
      <c r="A59" s="16" t="inlineStr">
        <is>
          <t>IT056</t>
        </is>
      </c>
      <c r="B59" s="17" t="inlineStr">
        <is>
          <t>Hidráulica</t>
        </is>
      </c>
      <c r="C59" s="17" t="inlineStr">
        <is>
          <t>material</t>
        </is>
      </c>
      <c r="D59" s="17" t="n">
        <v>8</v>
      </c>
      <c r="E59" s="16" t="inlineStr">
        <is>
          <t>Sistema de pressurização</t>
        </is>
      </c>
      <c r="F59" s="16" t="inlineStr">
        <is>
          <t>bomba + vaso de expansão (ou pressurizador de linha)</t>
        </is>
      </c>
      <c r="G59" s="16" t="inlineStr">
        <is>
          <t>un</t>
        </is>
      </c>
      <c r="H59" s="31" t="n">
        <v>1</v>
      </c>
      <c r="I59" s="16">
        <f>COUNTIFS(Cotações!$E$2:$E$2,$A59)</f>
        <v/>
      </c>
      <c r="J59" s="32">
        <f>IF(I59=0,"—",_xlfn.MINIFS(Cotações!$J$2:$J$2,Cotações!$E$2:$E$2,$A59))</f>
        <v/>
      </c>
      <c r="K59" s="17">
        <f>IF(I59=0,"—",IFERROR(INDEX(Cotações!$H$2:$H$2,MATCH(1,INDEX((Cotações!$E$2:$E$2=$A59)*(Cotações!$J$2:$J$2=J59),0),0)),""))</f>
        <v/>
      </c>
      <c r="L59" s="18">
        <f>IF(I59=0,"—",IFERROR(J59*H59,""))</f>
        <v/>
      </c>
      <c r="M59" s="16" t="inlineStr">
        <is>
          <t>antes da bifurcação fria/quente</t>
        </is>
      </c>
    </row>
    <row r="60">
      <c r="A60" s="21" t="inlineStr">
        <is>
          <t>IT057</t>
        </is>
      </c>
      <c r="B60" s="22" t="inlineStr">
        <is>
          <t>Hidráulica</t>
        </is>
      </c>
      <c r="C60" s="22" t="inlineStr">
        <is>
          <t>material</t>
        </is>
      </c>
      <c r="D60" s="22" t="n">
        <v>8</v>
      </c>
      <c r="E60" s="21" t="inlineStr">
        <is>
          <t>Bomba de recirculação c/ acionamento por demanda</t>
        </is>
      </c>
      <c r="F60" s="21" t="inlineStr">
        <is>
          <t>+ timer/relé p/ automação</t>
        </is>
      </c>
      <c r="G60" s="21" t="inlineStr">
        <is>
          <t>un</t>
        </is>
      </c>
      <c r="H60" s="29" t="n">
        <v>1</v>
      </c>
      <c r="I60" s="21">
        <f>COUNTIFS(Cotações!$E$2:$E$2,$A60)</f>
        <v/>
      </c>
      <c r="J60" s="30">
        <f>IF(I60=0,"—",_xlfn.MINIFS(Cotações!$J$2:$J$2,Cotações!$E$2:$E$2,$A60))</f>
        <v/>
      </c>
      <c r="K60" s="22">
        <f>IF(I60=0,"—",IFERROR(INDEX(Cotações!$H$2:$H$2,MATCH(1,INDEX((Cotações!$E$2:$E$2=$A60)*(Cotações!$J$2:$J$2=J60),0),0)),""))</f>
        <v/>
      </c>
      <c r="L60" s="23">
        <f>IF(I60=0,"—",IFERROR(J60*H60,""))</f>
        <v/>
      </c>
      <c r="M60" s="21" t="inlineStr">
        <is>
          <t>retorno da suíte</t>
        </is>
      </c>
    </row>
    <row r="61">
      <c r="A61" s="16" t="inlineStr">
        <is>
          <t>IT058</t>
        </is>
      </c>
      <c r="B61" s="17" t="inlineStr">
        <is>
          <t>Hidráulica</t>
        </is>
      </c>
      <c r="C61" s="17" t="inlineStr">
        <is>
          <t>material</t>
        </is>
      </c>
      <c r="D61" s="17" t="n">
        <v>8</v>
      </c>
      <c r="E61" s="16" t="inlineStr">
        <is>
          <t>Caixa d'água 1.000 L</t>
        </is>
      </c>
      <c r="F61" s="16" t="inlineStr">
        <is>
          <t>c/ bóia, extravasor e limpeza</t>
        </is>
      </c>
      <c r="G61" s="16" t="inlineStr">
        <is>
          <t>un</t>
        </is>
      </c>
      <c r="H61" s="31" t="n">
        <v>1</v>
      </c>
      <c r="I61" s="16">
        <f>COUNTIFS(Cotações!$E$2:$E$2,$A61)</f>
        <v/>
      </c>
      <c r="J61" s="32">
        <f>IF(I61=0,"—",_xlfn.MINIFS(Cotações!$J$2:$J$2,Cotações!$E$2:$E$2,$A61))</f>
        <v/>
      </c>
      <c r="K61" s="17">
        <f>IF(I61=0,"—",IFERROR(INDEX(Cotações!$H$2:$H$2,MATCH(1,INDEX((Cotações!$E$2:$E$2=$A61)*(Cotações!$J$2:$J$2=J61),0),0)),""))</f>
        <v/>
      </c>
      <c r="L61" s="18">
        <f>IF(I61=0,"—",IFERROR(J61*H61,""))</f>
        <v/>
      </c>
      <c r="M61" s="16" t="inlineStr"/>
    </row>
    <row r="62">
      <c r="A62" s="21" t="inlineStr">
        <is>
          <t>IT059</t>
        </is>
      </c>
      <c r="B62" s="22" t="inlineStr">
        <is>
          <t>Hidráulica</t>
        </is>
      </c>
      <c r="C62" s="22" t="inlineStr">
        <is>
          <t>material</t>
        </is>
      </c>
      <c r="D62" s="22" t="n">
        <v>8</v>
      </c>
      <c r="E62" s="21" t="inlineStr">
        <is>
          <t>Purificador cozinha + ponto bebedouro copa</t>
        </is>
      </c>
      <c r="F62" s="21" t="inlineStr"/>
      <c r="G62" s="21" t="inlineStr">
        <is>
          <t>un</t>
        </is>
      </c>
      <c r="H62" s="29" t="n">
        <v>2</v>
      </c>
      <c r="I62" s="21">
        <f>COUNTIFS(Cotações!$E$2:$E$2,$A62)</f>
        <v/>
      </c>
      <c r="J62" s="30">
        <f>IF(I62=0,"—",_xlfn.MINIFS(Cotações!$J$2:$J$2,Cotações!$E$2:$E$2,$A62))</f>
        <v/>
      </c>
      <c r="K62" s="22">
        <f>IF(I62=0,"—",IFERROR(INDEX(Cotações!$H$2:$H$2,MATCH(1,INDEX((Cotações!$E$2:$E$2=$A62)*(Cotações!$J$2:$J$2=J62),0),0)),""))</f>
        <v/>
      </c>
      <c r="L62" s="23">
        <f>IF(I62=0,"—",IFERROR(J62*H62,""))</f>
        <v/>
      </c>
      <c r="M62" s="21" t="inlineStr">
        <is>
          <t>copa: prever dreno</t>
        </is>
      </c>
    </row>
    <row r="63">
      <c r="A63" s="16" t="inlineStr">
        <is>
          <t>IT060</t>
        </is>
      </c>
      <c r="B63" s="17" t="inlineStr">
        <is>
          <t>Hidráulica</t>
        </is>
      </c>
      <c r="C63" s="17" t="inlineStr">
        <is>
          <t>material</t>
        </is>
      </c>
      <c r="D63" s="17" t="n">
        <v>8</v>
      </c>
      <c r="E63" s="16" t="inlineStr">
        <is>
          <t>Eletroduto 32 mm telhado → área técnica</t>
        </is>
      </c>
      <c r="F63" s="16" t="inlineStr">
        <is>
          <t>c/ caixas de passagem e arame-guia</t>
        </is>
      </c>
      <c r="G63" s="16" t="inlineStr">
        <is>
          <t>m</t>
        </is>
      </c>
      <c r="H63" s="31" t="n">
        <v>10</v>
      </c>
      <c r="I63" s="16">
        <f>COUNTIFS(Cotações!$E$2:$E$2,$A63)</f>
        <v/>
      </c>
      <c r="J63" s="32">
        <f>IF(I63=0,"—",_xlfn.MINIFS(Cotações!$J$2:$J$2,Cotações!$E$2:$E$2,$A63))</f>
        <v/>
      </c>
      <c r="K63" s="17">
        <f>IF(I63=0,"—",IFERROR(INDEX(Cotações!$H$2:$H$2,MATCH(1,INDEX((Cotações!$E$2:$E$2=$A63)*(Cotações!$J$2:$J$2=J63),0),0)),""))</f>
        <v/>
      </c>
      <c r="L63" s="18">
        <f>IF(I63=0,"—",IFERROR(J63*H63,""))</f>
        <v/>
      </c>
      <c r="M63" s="16" t="inlineStr">
        <is>
          <t>desce pelo shaft da técnica</t>
        </is>
      </c>
    </row>
    <row r="64">
      <c r="A64" s="21" t="inlineStr">
        <is>
          <t>IT061</t>
        </is>
      </c>
      <c r="B64" s="22" t="inlineStr">
        <is>
          <t>Hidráulica</t>
        </is>
      </c>
      <c r="C64" s="22" t="inlineStr">
        <is>
          <t>material</t>
        </is>
      </c>
      <c r="D64" s="22" t="n">
        <v>8</v>
      </c>
      <c r="E64" s="21" t="inlineStr">
        <is>
          <t>QDC c/ reserva p/ inversor</t>
        </is>
      </c>
      <c r="F64" s="21" t="inlineStr">
        <is>
          <t>espaço + disjuntor bidirecional futuro</t>
        </is>
      </c>
      <c r="G64" s="21" t="inlineStr">
        <is>
          <t>vb</t>
        </is>
      </c>
      <c r="H64" s="29" t="n">
        <v>1</v>
      </c>
      <c r="I64" s="21">
        <f>COUNTIFS(Cotações!$E$2:$E$2,$A64)</f>
        <v/>
      </c>
      <c r="J64" s="30">
        <f>IF(I64=0,"—",_xlfn.MINIFS(Cotações!$J$2:$J$2,Cotações!$E$2:$E$2,$A64))</f>
        <v/>
      </c>
      <c r="K64" s="22">
        <f>IF(I64=0,"—",IFERROR(INDEX(Cotações!$H$2:$H$2,MATCH(1,INDEX((Cotações!$E$2:$E$2=$A64)*(Cotações!$J$2:$J$2=J64),0),0)),""))</f>
        <v/>
      </c>
      <c r="L64" s="23">
        <f>IF(I64=0,"—",IFERROR(J64*H64,""))</f>
        <v/>
      </c>
      <c r="M64" s="21" t="inlineStr"/>
    </row>
    <row r="65">
      <c r="A65" s="16" t="inlineStr">
        <is>
          <t>IT062</t>
        </is>
      </c>
      <c r="B65" s="17" t="inlineStr">
        <is>
          <t>Hidráulica</t>
        </is>
      </c>
      <c r="C65" s="17" t="inlineStr">
        <is>
          <t>material</t>
        </is>
      </c>
      <c r="D65" s="17" t="n">
        <v>8</v>
      </c>
      <c r="E65" s="16" t="inlineStr">
        <is>
          <t>Aterramento reforçado / SPDA prep.</t>
        </is>
      </c>
      <c r="F65" s="16" t="inlineStr">
        <is>
          <t>hastes + cabo de descida</t>
        </is>
      </c>
      <c r="G65" s="16" t="inlineStr">
        <is>
          <t>vb</t>
        </is>
      </c>
      <c r="H65" s="31" t="n">
        <v>1</v>
      </c>
      <c r="I65" s="16">
        <f>COUNTIFS(Cotações!$E$2:$E$2,$A65)</f>
        <v/>
      </c>
      <c r="J65" s="32">
        <f>IF(I65=0,"—",_xlfn.MINIFS(Cotações!$J$2:$J$2,Cotações!$E$2:$E$2,$A65))</f>
        <v/>
      </c>
      <c r="K65" s="17">
        <f>IF(I65=0,"—",IFERROR(INDEX(Cotações!$H$2:$H$2,MATCH(1,INDEX((Cotações!$E$2:$E$2=$A65)*(Cotações!$J$2:$J$2=J65),0),0)),""))</f>
        <v/>
      </c>
      <c r="L65" s="18">
        <f>IF(I65=0,"—",IFERROR(J65*H65,""))</f>
        <v/>
      </c>
      <c r="M65" s="16" t="inlineStr">
        <is>
          <t>estrutura metálica do telhado exige</t>
        </is>
      </c>
    </row>
    <row r="66">
      <c r="A66" s="21" t="inlineStr">
        <is>
          <t>IT063</t>
        </is>
      </c>
      <c r="B66" s="22" t="inlineStr">
        <is>
          <t>Hidráulica</t>
        </is>
      </c>
      <c r="C66" s="22" t="inlineStr">
        <is>
          <t>material</t>
        </is>
      </c>
      <c r="D66" s="22" t="n">
        <v>8</v>
      </c>
      <c r="E66" s="21" t="inlineStr">
        <is>
          <t>Reforço de fixação na água oeste</t>
        </is>
      </c>
      <c r="F66" s="21" t="inlineStr">
        <is>
          <t>pontos de ancoragem previstos na estrutura</t>
        </is>
      </c>
      <c r="G66" s="21" t="inlineStr">
        <is>
          <t>vb</t>
        </is>
      </c>
      <c r="H66" s="29" t="n">
        <v>1</v>
      </c>
      <c r="I66" s="21">
        <f>COUNTIFS(Cotações!$E$2:$E$2,$A66)</f>
        <v/>
      </c>
      <c r="J66" s="30">
        <f>IF(I66=0,"—",_xlfn.MINIFS(Cotações!$J$2:$J$2,Cotações!$E$2:$E$2,$A66))</f>
        <v/>
      </c>
      <c r="K66" s="22">
        <f>IF(I66=0,"—",IFERROR(INDEX(Cotações!$H$2:$H$2,MATCH(1,INDEX((Cotações!$E$2:$E$2=$A66)*(Cotações!$J$2:$J$2=J66),0),0)),""))</f>
        <v/>
      </c>
      <c r="L66" s="23">
        <f>IF(I66=0,"—",IFERROR(J66*H66,""))</f>
        <v/>
      </c>
      <c r="M66" s="21" t="inlineStr">
        <is>
          <t>painéis futuros na água alta</t>
        </is>
      </c>
    </row>
    <row r="67">
      <c r="A67" s="16" t="inlineStr">
        <is>
          <t>IT064</t>
        </is>
      </c>
      <c r="B67" s="17" t="inlineStr">
        <is>
          <t>Elétrica + Automação</t>
        </is>
      </c>
      <c r="C67" s="17" t="inlineStr">
        <is>
          <t>material</t>
        </is>
      </c>
      <c r="D67" s="17" t="n">
        <v>9</v>
      </c>
      <c r="E67" s="16" t="inlineStr">
        <is>
          <t>Padrão de entrada trifásico</t>
        </is>
      </c>
      <c r="F67" s="16" t="inlineStr">
        <is>
          <t>poste/caixa padrão Enel SP, 3F+N, disjuntor geral 40–50 A</t>
        </is>
      </c>
      <c r="G67" s="16" t="inlineStr">
        <is>
          <t>vb</t>
        </is>
      </c>
      <c r="H67" s="31" t="n">
        <v>1</v>
      </c>
      <c r="I67" s="16">
        <f>COUNTIFS(Cotações!$E$2:$E$2,$A67)</f>
        <v/>
      </c>
      <c r="J67" s="32">
        <f>IF(I67=0,"—",_xlfn.MINIFS(Cotações!$J$2:$J$2,Cotações!$E$2:$E$2,$A67))</f>
        <v/>
      </c>
      <c r="K67" s="17">
        <f>IF(I67=0,"—",IFERROR(INDEX(Cotações!$H$2:$H$2,MATCH(1,INDEX((Cotações!$E$2:$E$2=$A67)*(Cotações!$J$2:$J$2=J67),0),0)),""))</f>
        <v/>
      </c>
      <c r="L67" s="18">
        <f>IF(I67=0,"—",IFERROR(J67*H67,""))</f>
        <v/>
      </c>
      <c r="M67" s="16" t="inlineStr">
        <is>
          <t>dá 220 V fase-fase e 127 V fase-neutro</t>
        </is>
      </c>
    </row>
    <row r="68">
      <c r="A68" s="21" t="inlineStr">
        <is>
          <t>IT065</t>
        </is>
      </c>
      <c r="B68" s="22" t="inlineStr">
        <is>
          <t>Elétrica + Automação</t>
        </is>
      </c>
      <c r="C68" s="22" t="inlineStr">
        <is>
          <t>material</t>
        </is>
      </c>
      <c r="D68" s="22" t="n">
        <v>9</v>
      </c>
      <c r="E68" s="21" t="inlineStr">
        <is>
          <t>Alimentador medidor → QDC</t>
        </is>
      </c>
      <c r="F68" s="21" t="inlineStr">
        <is>
          <t>cabo 16 mm² (4 vias) + eletroduto 40 mm</t>
        </is>
      </c>
      <c r="G68" s="21" t="inlineStr">
        <is>
          <t>m</t>
        </is>
      </c>
      <c r="H68" s="29" t="n">
        <v>18</v>
      </c>
      <c r="I68" s="21">
        <f>COUNTIFS(Cotações!$E$2:$E$2,$A68)</f>
        <v/>
      </c>
      <c r="J68" s="30">
        <f>IF(I68=0,"—",_xlfn.MINIFS(Cotações!$J$2:$J$2,Cotações!$E$2:$E$2,$A68))</f>
        <v/>
      </c>
      <c r="K68" s="22">
        <f>IF(I68=0,"—",IFERROR(INDEX(Cotações!$H$2:$H$2,MATCH(1,INDEX((Cotações!$E$2:$E$2=$A68)*(Cotações!$J$2:$J$2=J68),0),0)),""))</f>
        <v/>
      </c>
      <c r="L68" s="23">
        <f>IF(I68=0,"—",IFERROR(J68*H68,""))</f>
        <v/>
      </c>
      <c r="M68" s="21" t="inlineStr"/>
    </row>
    <row r="69">
      <c r="A69" s="16" t="inlineStr">
        <is>
          <t>IT066</t>
        </is>
      </c>
      <c r="B69" s="17" t="inlineStr">
        <is>
          <t>Elétrica + Automação</t>
        </is>
      </c>
      <c r="C69" s="17" t="inlineStr">
        <is>
          <t>material</t>
        </is>
      </c>
      <c r="D69" s="17" t="n">
        <v>9</v>
      </c>
      <c r="E69" s="16" t="inlineStr">
        <is>
          <t>QDC 32 circuitos c/ barramento trifásico</t>
        </is>
      </c>
      <c r="F69" s="16" t="inlineStr">
        <is>
          <t>embutir na área técnica</t>
        </is>
      </c>
      <c r="G69" s="16" t="inlineStr">
        <is>
          <t>un</t>
        </is>
      </c>
      <c r="H69" s="31" t="n">
        <v>1</v>
      </c>
      <c r="I69" s="16">
        <f>COUNTIFS(Cotações!$E$2:$E$2,$A69)</f>
        <v/>
      </c>
      <c r="J69" s="32">
        <f>IF(I69=0,"—",_xlfn.MINIFS(Cotações!$J$2:$J$2,Cotações!$E$2:$E$2,$A69))</f>
        <v/>
      </c>
      <c r="K69" s="17">
        <f>IF(I69=0,"—",IFERROR(INDEX(Cotações!$H$2:$H$2,MATCH(1,INDEX((Cotações!$E$2:$E$2=$A69)*(Cotações!$J$2:$J$2=J69),0),0)),""))</f>
        <v/>
      </c>
      <c r="L69" s="18">
        <f>IF(I69=0,"—",IFERROR(J69*H69,""))</f>
        <v/>
      </c>
      <c r="M69" s="16" t="inlineStr">
        <is>
          <t>reserva p/ inversor PV já prevista</t>
        </is>
      </c>
    </row>
    <row r="70">
      <c r="A70" s="21" t="inlineStr">
        <is>
          <t>IT067</t>
        </is>
      </c>
      <c r="B70" s="22" t="inlineStr">
        <is>
          <t>Elétrica + Automação</t>
        </is>
      </c>
      <c r="C70" s="22" t="inlineStr">
        <is>
          <t>material</t>
        </is>
      </c>
      <c r="D70" s="22" t="n">
        <v>9</v>
      </c>
      <c r="E70" s="21" t="inlineStr">
        <is>
          <t>Disjuntores DIN (mono e bifásicos)</t>
        </is>
      </c>
      <c r="F70" s="21" t="inlineStr">
        <is>
          <t>curvas B/C conforme circuito</t>
        </is>
      </c>
      <c r="G70" s="21" t="inlineStr">
        <is>
          <t>un</t>
        </is>
      </c>
      <c r="H70" s="29" t="n">
        <v>26</v>
      </c>
      <c r="I70" s="21">
        <f>COUNTIFS(Cotações!$E$2:$E$2,$A70)</f>
        <v/>
      </c>
      <c r="J70" s="30">
        <f>IF(I70=0,"—",_xlfn.MINIFS(Cotações!$J$2:$J$2,Cotações!$E$2:$E$2,$A70))</f>
        <v/>
      </c>
      <c r="K70" s="22">
        <f>IF(I70=0,"—",IFERROR(INDEX(Cotações!$H$2:$H$2,MATCH(1,INDEX((Cotações!$E$2:$E$2=$A70)*(Cotações!$J$2:$J$2=J70),0),0)),""))</f>
        <v/>
      </c>
      <c r="L70" s="23">
        <f>IF(I70=0,"—",IFERROR(J70*H70,""))</f>
        <v/>
      </c>
      <c r="M70" s="21" t="inlineStr"/>
    </row>
    <row r="71">
      <c r="A71" s="16" t="inlineStr">
        <is>
          <t>IT068</t>
        </is>
      </c>
      <c r="B71" s="17" t="inlineStr">
        <is>
          <t>Elétrica + Automação</t>
        </is>
      </c>
      <c r="C71" s="17" t="inlineStr">
        <is>
          <t>material</t>
        </is>
      </c>
      <c r="D71" s="17" t="n">
        <v>9</v>
      </c>
      <c r="E71" s="16" t="inlineStr">
        <is>
          <t>IDR / DR 30 mA</t>
        </is>
      </c>
      <c r="F71" s="16" t="inlineStr">
        <is>
          <t>banheiros, áreas molhadas, externas, cozinha</t>
        </is>
      </c>
      <c r="G71" s="16" t="inlineStr">
        <is>
          <t>un</t>
        </is>
      </c>
      <c r="H71" s="31" t="n">
        <v>4</v>
      </c>
      <c r="I71" s="16">
        <f>COUNTIFS(Cotações!$E$2:$E$2,$A71)</f>
        <v/>
      </c>
      <c r="J71" s="32">
        <f>IF(I71=0,"—",_xlfn.MINIFS(Cotações!$J$2:$J$2,Cotações!$E$2:$E$2,$A71))</f>
        <v/>
      </c>
      <c r="K71" s="17">
        <f>IF(I71=0,"—",IFERROR(INDEX(Cotações!$H$2:$H$2,MATCH(1,INDEX((Cotações!$E$2:$E$2=$A71)*(Cotações!$J$2:$J$2=J71),0),0)),""))</f>
        <v/>
      </c>
      <c r="L71" s="18">
        <f>IF(I71=0,"—",IFERROR(J71*H71,""))</f>
        <v/>
      </c>
      <c r="M71" s="16" t="inlineStr">
        <is>
          <t>obrigatório NBR 5410</t>
        </is>
      </c>
    </row>
    <row r="72">
      <c r="A72" s="21" t="inlineStr">
        <is>
          <t>IT069</t>
        </is>
      </c>
      <c r="B72" s="22" t="inlineStr">
        <is>
          <t>Elétrica + Automação</t>
        </is>
      </c>
      <c r="C72" s="22" t="inlineStr">
        <is>
          <t>material</t>
        </is>
      </c>
      <c r="D72" s="22" t="n">
        <v>9</v>
      </c>
      <c r="E72" s="21" t="inlineStr">
        <is>
          <t>DPS classe II (F+F+F+N)</t>
        </is>
      </c>
      <c r="F72" s="21" t="inlineStr">
        <is>
          <t>no QDC</t>
        </is>
      </c>
      <c r="G72" s="21" t="inlineStr">
        <is>
          <t>un</t>
        </is>
      </c>
      <c r="H72" s="29" t="n">
        <v>4</v>
      </c>
      <c r="I72" s="21">
        <f>COUNTIFS(Cotações!$E$2:$E$2,$A72)</f>
        <v/>
      </c>
      <c r="J72" s="30">
        <f>IF(I72=0,"—",_xlfn.MINIFS(Cotações!$J$2:$J$2,Cotações!$E$2:$E$2,$A72))</f>
        <v/>
      </c>
      <c r="K72" s="22">
        <f>IF(I72=0,"—",IFERROR(INDEX(Cotações!$H$2:$H$2,MATCH(1,INDEX((Cotações!$E$2:$E$2=$A72)*(Cotações!$J$2:$J$2=J72),0),0)),""))</f>
        <v/>
      </c>
      <c r="L72" s="23">
        <f>IF(I72=0,"—",IFERROR(J72*H72,""))</f>
        <v/>
      </c>
      <c r="M72" s="21" t="inlineStr">
        <is>
          <t>telhado metálico: essencial</t>
        </is>
      </c>
    </row>
    <row r="73">
      <c r="A73" s="16" t="inlineStr">
        <is>
          <t>IT070</t>
        </is>
      </c>
      <c r="B73" s="17" t="inlineStr">
        <is>
          <t>Elétrica + Automação</t>
        </is>
      </c>
      <c r="C73" s="17" t="inlineStr">
        <is>
          <t>material</t>
        </is>
      </c>
      <c r="D73" s="17" t="n">
        <v>9</v>
      </c>
      <c r="E73" s="16" t="inlineStr">
        <is>
          <t>Aterramento</t>
        </is>
      </c>
      <c r="F73" s="16" t="inlineStr">
        <is>
          <t>3 hastes + cabo cobre nu 16 mm² + caixa inspeção</t>
        </is>
      </c>
      <c r="G73" s="16" t="inlineStr">
        <is>
          <t>vb</t>
        </is>
      </c>
      <c r="H73" s="31" t="n">
        <v>1</v>
      </c>
      <c r="I73" s="16">
        <f>COUNTIFS(Cotações!$E$2:$E$2,$A73)</f>
        <v/>
      </c>
      <c r="J73" s="32">
        <f>IF(I73=0,"—",_xlfn.MINIFS(Cotações!$J$2:$J$2,Cotações!$E$2:$E$2,$A73))</f>
        <v/>
      </c>
      <c r="K73" s="17">
        <f>IF(I73=0,"—",IFERROR(INDEX(Cotações!$H$2:$H$2,MATCH(1,INDEX((Cotações!$E$2:$E$2=$A73)*(Cotações!$J$2:$J$2=J73),0),0)),""))</f>
        <v/>
      </c>
      <c r="L73" s="18">
        <f>IF(I73=0,"—",IFERROR(J73*H73,""))</f>
        <v/>
      </c>
      <c r="M73" s="16" t="inlineStr">
        <is>
          <t>integra c/ SPDA da cobertura</t>
        </is>
      </c>
    </row>
    <row r="74">
      <c r="A74" s="21" t="inlineStr">
        <is>
          <t>IT071</t>
        </is>
      </c>
      <c r="B74" s="22" t="inlineStr">
        <is>
          <t>Elétrica + Automação</t>
        </is>
      </c>
      <c r="C74" s="22" t="inlineStr">
        <is>
          <t>material</t>
        </is>
      </c>
      <c r="D74" s="22" t="n">
        <v>9</v>
      </c>
      <c r="E74" s="21" t="inlineStr">
        <is>
          <t>Eletroduto corrugado reforçado 25 mm</t>
        </is>
      </c>
      <c r="F74" s="21" t="inlineStr">
        <is>
          <t>sulcos no EPS c/ soprador térmico</t>
        </is>
      </c>
      <c r="G74" s="21" t="inlineStr">
        <is>
          <t>m</t>
        </is>
      </c>
      <c r="H74" s="29" t="n">
        <v>260</v>
      </c>
      <c r="I74" s="21">
        <f>COUNTIFS(Cotações!$E$2:$E$2,$A74)</f>
        <v/>
      </c>
      <c r="J74" s="30">
        <f>IF(I74=0,"—",_xlfn.MINIFS(Cotações!$J$2:$J$2,Cotações!$E$2:$E$2,$A74))</f>
        <v/>
      </c>
      <c r="K74" s="22">
        <f>IF(I74=0,"—",IFERROR(INDEX(Cotações!$H$2:$H$2,MATCH(1,INDEX((Cotações!$E$2:$E$2=$A74)*(Cotações!$J$2:$J$2=J74),0),0)),""))</f>
        <v/>
      </c>
      <c r="L74" s="23">
        <f>IF(I74=0,"—",IFERROR(J74*H74,""))</f>
        <v/>
      </c>
      <c r="M74" s="21" t="inlineStr"/>
    </row>
    <row r="75">
      <c r="A75" s="16" t="inlineStr">
        <is>
          <t>IT072</t>
        </is>
      </c>
      <c r="B75" s="17" t="inlineStr">
        <is>
          <t>Elétrica + Automação</t>
        </is>
      </c>
      <c r="C75" s="17" t="inlineStr">
        <is>
          <t>material</t>
        </is>
      </c>
      <c r="D75" s="17" t="n">
        <v>9</v>
      </c>
      <c r="E75" s="16" t="inlineStr">
        <is>
          <t>Eletroduto corrugado 32 mm</t>
        </is>
      </c>
      <c r="F75" s="16" t="inlineStr">
        <is>
          <t>circuitos 220 V, AC e troncos</t>
        </is>
      </c>
      <c r="G75" s="16" t="inlineStr">
        <is>
          <t>m</t>
        </is>
      </c>
      <c r="H75" s="31" t="n">
        <v>50</v>
      </c>
      <c r="I75" s="16">
        <f>COUNTIFS(Cotações!$E$2:$E$2,$A75)</f>
        <v/>
      </c>
      <c r="J75" s="32">
        <f>IF(I75=0,"—",_xlfn.MINIFS(Cotações!$J$2:$J$2,Cotações!$E$2:$E$2,$A75))</f>
        <v/>
      </c>
      <c r="K75" s="17">
        <f>IF(I75=0,"—",IFERROR(INDEX(Cotações!$H$2:$H$2,MATCH(1,INDEX((Cotações!$E$2:$E$2=$A75)*(Cotações!$J$2:$J$2=J75),0),0)),""))</f>
        <v/>
      </c>
      <c r="L75" s="18">
        <f>IF(I75=0,"—",IFERROR(J75*H75,""))</f>
        <v/>
      </c>
      <c r="M75" s="16" t="inlineStr"/>
    </row>
    <row r="76">
      <c r="A76" s="21" t="inlineStr">
        <is>
          <t>IT073</t>
        </is>
      </c>
      <c r="B76" s="22" t="inlineStr">
        <is>
          <t>Elétrica + Automação</t>
        </is>
      </c>
      <c r="C76" s="22" t="inlineStr">
        <is>
          <t>material</t>
        </is>
      </c>
      <c r="D76" s="22" t="n">
        <v>9</v>
      </c>
      <c r="E76" s="21" t="inlineStr">
        <is>
          <t>Caixa 4×2 (tomadas/interruptores)</t>
        </is>
      </c>
      <c r="F76" s="21" t="inlineStr"/>
      <c r="G76" s="21" t="inlineStr">
        <is>
          <t>un</t>
        </is>
      </c>
      <c r="H76" s="29" t="n">
        <v>75</v>
      </c>
      <c r="I76" s="21">
        <f>COUNTIFS(Cotações!$E$2:$E$2,$A76)</f>
        <v/>
      </c>
      <c r="J76" s="30">
        <f>IF(I76=0,"—",_xlfn.MINIFS(Cotações!$J$2:$J$2,Cotações!$E$2:$E$2,$A76))</f>
        <v/>
      </c>
      <c r="K76" s="22">
        <f>IF(I76=0,"—",IFERROR(INDEX(Cotações!$H$2:$H$2,MATCH(1,INDEX((Cotações!$E$2:$E$2=$A76)*(Cotações!$J$2:$J$2=J76),0),0)),""))</f>
        <v/>
      </c>
      <c r="L76" s="23">
        <f>IF(I76=0,"—",IFERROR(J76*H76,""))</f>
        <v/>
      </c>
      <c r="M76" s="21" t="inlineStr"/>
    </row>
    <row r="77">
      <c r="A77" s="16" t="inlineStr">
        <is>
          <t>IT074</t>
        </is>
      </c>
      <c r="B77" s="17" t="inlineStr">
        <is>
          <t>Elétrica + Automação</t>
        </is>
      </c>
      <c r="C77" s="17" t="inlineStr">
        <is>
          <t>material</t>
        </is>
      </c>
      <c r="D77" s="17" t="n">
        <v>9</v>
      </c>
      <c r="E77" s="16" t="inlineStr">
        <is>
          <t>Caixa 4×4</t>
        </is>
      </c>
      <c r="F77" s="16" t="inlineStr">
        <is>
          <t>pontos duplos, automação, rede</t>
        </is>
      </c>
      <c r="G77" s="16" t="inlineStr">
        <is>
          <t>un</t>
        </is>
      </c>
      <c r="H77" s="31" t="n">
        <v>18</v>
      </c>
      <c r="I77" s="16">
        <f>COUNTIFS(Cotações!$E$2:$E$2,$A77)</f>
        <v/>
      </c>
      <c r="J77" s="32">
        <f>IF(I77=0,"—",_xlfn.MINIFS(Cotações!$J$2:$J$2,Cotações!$E$2:$E$2,$A77))</f>
        <v/>
      </c>
      <c r="K77" s="17">
        <f>IF(I77=0,"—",IFERROR(INDEX(Cotações!$H$2:$H$2,MATCH(1,INDEX((Cotações!$E$2:$E$2=$A77)*(Cotações!$J$2:$J$2=J77),0),0)),""))</f>
        <v/>
      </c>
      <c r="L77" s="18">
        <f>IF(I77=0,"—",IFERROR(J77*H77,""))</f>
        <v/>
      </c>
      <c r="M77" s="16" t="inlineStr">
        <is>
          <t>interruptores smart pedem folga</t>
        </is>
      </c>
    </row>
    <row r="78">
      <c r="A78" s="21" t="inlineStr">
        <is>
          <t>IT075</t>
        </is>
      </c>
      <c r="B78" s="22" t="inlineStr">
        <is>
          <t>Elétrica + Automação</t>
        </is>
      </c>
      <c r="C78" s="22" t="inlineStr">
        <is>
          <t>material</t>
        </is>
      </c>
      <c r="D78" s="22" t="n">
        <v>9</v>
      </c>
      <c r="E78" s="21" t="inlineStr">
        <is>
          <t>Caixa octogonal/teto</t>
        </is>
      </c>
      <c r="F78" s="21" t="inlineStr">
        <is>
          <t>pontos de luz</t>
        </is>
      </c>
      <c r="G78" s="21" t="inlineStr">
        <is>
          <t>un</t>
        </is>
      </c>
      <c r="H78" s="29" t="n">
        <v>26</v>
      </c>
      <c r="I78" s="21">
        <f>COUNTIFS(Cotações!$E$2:$E$2,$A78)</f>
        <v/>
      </c>
      <c r="J78" s="30">
        <f>IF(I78=0,"—",_xlfn.MINIFS(Cotações!$J$2:$J$2,Cotações!$E$2:$E$2,$A78))</f>
        <v/>
      </c>
      <c r="K78" s="22">
        <f>IF(I78=0,"—",IFERROR(INDEX(Cotações!$H$2:$H$2,MATCH(1,INDEX((Cotações!$E$2:$E$2=$A78)*(Cotações!$J$2:$J$2=J78),0),0)),""))</f>
        <v/>
      </c>
      <c r="L78" s="23">
        <f>IF(I78=0,"—",IFERROR(J78*H78,""))</f>
        <v/>
      </c>
      <c r="M78" s="21" t="inlineStr"/>
    </row>
    <row r="79">
      <c r="A79" s="16" t="inlineStr">
        <is>
          <t>IT076</t>
        </is>
      </c>
      <c r="B79" s="17" t="inlineStr">
        <is>
          <t>Elétrica + Automação</t>
        </is>
      </c>
      <c r="C79" s="17" t="inlineStr">
        <is>
          <t>material</t>
        </is>
      </c>
      <c r="D79" s="17" t="n">
        <v>9</v>
      </c>
      <c r="E79" s="16" t="inlineStr">
        <is>
          <t>Quadro de passagem / shaft técnica</t>
        </is>
      </c>
      <c r="F79" s="16" t="inlineStr">
        <is>
          <t>organização das descidas</t>
        </is>
      </c>
      <c r="G79" s="16" t="inlineStr">
        <is>
          <t>un</t>
        </is>
      </c>
      <c r="H79" s="31" t="n">
        <v>2</v>
      </c>
      <c r="I79" s="16">
        <f>COUNTIFS(Cotações!$E$2:$E$2,$A79)</f>
        <v/>
      </c>
      <c r="J79" s="32">
        <f>IF(I79=0,"—",_xlfn.MINIFS(Cotações!$J$2:$J$2,Cotações!$E$2:$E$2,$A79))</f>
        <v/>
      </c>
      <c r="K79" s="17">
        <f>IF(I79=0,"—",IFERROR(INDEX(Cotações!$H$2:$H$2,MATCH(1,INDEX((Cotações!$E$2:$E$2=$A79)*(Cotações!$J$2:$J$2=J79),0),0)),""))</f>
        <v/>
      </c>
      <c r="L79" s="18">
        <f>IF(I79=0,"—",IFERROR(J79*H79,""))</f>
        <v/>
      </c>
      <c r="M79" s="16" t="inlineStr"/>
    </row>
    <row r="80">
      <c r="A80" s="21" t="inlineStr">
        <is>
          <t>IT077</t>
        </is>
      </c>
      <c r="B80" s="22" t="inlineStr">
        <is>
          <t>Elétrica + Automação</t>
        </is>
      </c>
      <c r="C80" s="22" t="inlineStr">
        <is>
          <t>material</t>
        </is>
      </c>
      <c r="D80" s="22" t="n">
        <v>9</v>
      </c>
      <c r="E80" s="21" t="inlineStr">
        <is>
          <t>Cabo flexível 1,5 mm²</t>
        </is>
      </c>
      <c r="F80" s="21" t="inlineStr">
        <is>
          <t>iluminação</t>
        </is>
      </c>
      <c r="G80" s="21" t="inlineStr">
        <is>
          <t>m</t>
        </is>
      </c>
      <c r="H80" s="29" t="n">
        <v>280</v>
      </c>
      <c r="I80" s="21">
        <f>COUNTIFS(Cotações!$E$2:$E$2,$A80)</f>
        <v/>
      </c>
      <c r="J80" s="30">
        <f>IF(I80=0,"—",_xlfn.MINIFS(Cotações!$J$2:$J$2,Cotações!$E$2:$E$2,$A80))</f>
        <v/>
      </c>
      <c r="K80" s="22">
        <f>IF(I80=0,"—",IFERROR(INDEX(Cotações!$H$2:$H$2,MATCH(1,INDEX((Cotações!$E$2:$E$2=$A80)*(Cotações!$J$2:$J$2=J80),0),0)),""))</f>
        <v/>
      </c>
      <c r="L80" s="23">
        <f>IF(I80=0,"—",IFERROR(J80*H80,""))</f>
        <v/>
      </c>
      <c r="M80" s="21" t="inlineStr"/>
    </row>
    <row r="81">
      <c r="A81" s="16" t="inlineStr">
        <is>
          <t>IT078</t>
        </is>
      </c>
      <c r="B81" s="17" t="inlineStr">
        <is>
          <t>Elétrica + Automação</t>
        </is>
      </c>
      <c r="C81" s="17" t="inlineStr">
        <is>
          <t>material</t>
        </is>
      </c>
      <c r="D81" s="17" t="n">
        <v>9</v>
      </c>
      <c r="E81" s="16" t="inlineStr">
        <is>
          <t>Cabo flexível 2,5 mm²</t>
        </is>
      </c>
      <c r="F81" s="16" t="inlineStr">
        <is>
          <t>tomadas de uso geral 127 V</t>
        </is>
      </c>
      <c r="G81" s="16" t="inlineStr">
        <is>
          <t>m</t>
        </is>
      </c>
      <c r="H81" s="31" t="n">
        <v>420</v>
      </c>
      <c r="I81" s="16">
        <f>COUNTIFS(Cotações!$E$2:$E$2,$A81)</f>
        <v/>
      </c>
      <c r="J81" s="32">
        <f>IF(I81=0,"—",_xlfn.MINIFS(Cotações!$J$2:$J$2,Cotações!$E$2:$E$2,$A81))</f>
        <v/>
      </c>
      <c r="K81" s="17">
        <f>IF(I81=0,"—",IFERROR(INDEX(Cotações!$H$2:$H$2,MATCH(1,INDEX((Cotações!$E$2:$E$2=$A81)*(Cotações!$J$2:$J$2=J81),0),0)),""))</f>
        <v/>
      </c>
      <c r="L81" s="18">
        <f>IF(I81=0,"—",IFERROR(J81*H81,""))</f>
        <v/>
      </c>
      <c r="M81" s="16" t="inlineStr"/>
    </row>
    <row r="82">
      <c r="A82" s="21" t="inlineStr">
        <is>
          <t>IT079</t>
        </is>
      </c>
      <c r="B82" s="22" t="inlineStr">
        <is>
          <t>Elétrica + Automação</t>
        </is>
      </c>
      <c r="C82" s="22" t="inlineStr">
        <is>
          <t>material</t>
        </is>
      </c>
      <c r="D82" s="22" t="n">
        <v>9</v>
      </c>
      <c r="E82" s="21" t="inlineStr">
        <is>
          <t>Cabo flexível 4,0 mm²</t>
        </is>
      </c>
      <c r="F82" s="21" t="inlineStr">
        <is>
          <t>tomadas 220 V + circuitos AC</t>
        </is>
      </c>
      <c r="G82" s="21" t="inlineStr">
        <is>
          <t>m</t>
        </is>
      </c>
      <c r="H82" s="29" t="n">
        <v>140</v>
      </c>
      <c r="I82" s="21">
        <f>COUNTIFS(Cotações!$E$2:$E$2,$A82)</f>
        <v/>
      </c>
      <c r="J82" s="30">
        <f>IF(I82=0,"—",_xlfn.MINIFS(Cotações!$J$2:$J$2,Cotações!$E$2:$E$2,$A82))</f>
        <v/>
      </c>
      <c r="K82" s="22">
        <f>IF(I82=0,"—",IFERROR(INDEX(Cotações!$H$2:$H$2,MATCH(1,INDEX((Cotações!$E$2:$E$2=$A82)*(Cotações!$J$2:$J$2=J82),0),0)),""))</f>
        <v/>
      </c>
      <c r="L82" s="23">
        <f>IF(I82=0,"—",IFERROR(J82*H82,""))</f>
        <v/>
      </c>
      <c r="M82" s="21" t="inlineStr"/>
    </row>
    <row r="83">
      <c r="A83" s="16" t="inlineStr">
        <is>
          <t>IT080</t>
        </is>
      </c>
      <c r="B83" s="17" t="inlineStr">
        <is>
          <t>Elétrica + Automação</t>
        </is>
      </c>
      <c r="C83" s="17" t="inlineStr">
        <is>
          <t>material</t>
        </is>
      </c>
      <c r="D83" s="17" t="n">
        <v>9</v>
      </c>
      <c r="E83" s="16" t="inlineStr">
        <is>
          <t>Cabo flexível 6,0 mm²</t>
        </is>
      </c>
      <c r="F83" s="16" t="inlineStr">
        <is>
          <t>cooktop indução, bomba de calor, forno</t>
        </is>
      </c>
      <c r="G83" s="16" t="inlineStr">
        <is>
          <t>m</t>
        </is>
      </c>
      <c r="H83" s="31" t="n">
        <v>60</v>
      </c>
      <c r="I83" s="16">
        <f>COUNTIFS(Cotações!$E$2:$E$2,$A83)</f>
        <v/>
      </c>
      <c r="J83" s="32">
        <f>IF(I83=0,"—",_xlfn.MINIFS(Cotações!$J$2:$J$2,Cotações!$E$2:$E$2,$A83))</f>
        <v/>
      </c>
      <c r="K83" s="17">
        <f>IF(I83=0,"—",IFERROR(INDEX(Cotações!$H$2:$H$2,MATCH(1,INDEX((Cotações!$E$2:$E$2=$A83)*(Cotações!$J$2:$J$2=J83),0),0)),""))</f>
        <v/>
      </c>
      <c r="L83" s="18">
        <f>IF(I83=0,"—",IFERROR(J83*H83,""))</f>
        <v/>
      </c>
      <c r="M83" s="16" t="inlineStr">
        <is>
          <t>todos 220 V dedicados</t>
        </is>
      </c>
    </row>
    <row r="84">
      <c r="A84" s="21" t="inlineStr">
        <is>
          <t>IT081</t>
        </is>
      </c>
      <c r="B84" s="22" t="inlineStr">
        <is>
          <t>Elétrica + Automação</t>
        </is>
      </c>
      <c r="C84" s="22" t="inlineStr">
        <is>
          <t>material</t>
        </is>
      </c>
      <c r="D84" s="22" t="n">
        <v>9</v>
      </c>
      <c r="E84" s="21" t="inlineStr">
        <is>
          <t>Cabo PP / bitolas especiais</t>
        </is>
      </c>
      <c r="F84" s="21" t="inlineStr">
        <is>
          <t>pressurizador, recirculadora, portão</t>
        </is>
      </c>
      <c r="G84" s="21" t="inlineStr">
        <is>
          <t>m</t>
        </is>
      </c>
      <c r="H84" s="29" t="n">
        <v>30</v>
      </c>
      <c r="I84" s="21">
        <f>COUNTIFS(Cotações!$E$2:$E$2,$A84)</f>
        <v/>
      </c>
      <c r="J84" s="30">
        <f>IF(I84=0,"—",_xlfn.MINIFS(Cotações!$J$2:$J$2,Cotações!$E$2:$E$2,$A84))</f>
        <v/>
      </c>
      <c r="K84" s="22">
        <f>IF(I84=0,"—",IFERROR(INDEX(Cotações!$H$2:$H$2,MATCH(1,INDEX((Cotações!$E$2:$E$2=$A84)*(Cotações!$J$2:$J$2=J84),0),0)),""))</f>
        <v/>
      </c>
      <c r="L84" s="23">
        <f>IF(I84=0,"—",IFERROR(J84*H84,""))</f>
        <v/>
      </c>
      <c r="M84" s="21" t="inlineStr"/>
    </row>
    <row r="85">
      <c r="A85" s="16" t="inlineStr">
        <is>
          <t>IT082</t>
        </is>
      </c>
      <c r="B85" s="17" t="inlineStr">
        <is>
          <t>Elétrica + Automação</t>
        </is>
      </c>
      <c r="C85" s="17" t="inlineStr">
        <is>
          <t>material</t>
        </is>
      </c>
      <c r="D85" s="17" t="n">
        <v>9</v>
      </c>
      <c r="E85" s="16" t="inlineStr">
        <is>
          <t>Tomadas 2P+T 10 A — 127 V</t>
        </is>
      </c>
      <c r="F85" s="16" t="inlineStr">
        <is>
          <t>linha a definir</t>
        </is>
      </c>
      <c r="G85" s="16" t="inlineStr">
        <is>
          <t>un</t>
        </is>
      </c>
      <c r="H85" s="31" t="n">
        <v>42</v>
      </c>
      <c r="I85" s="16">
        <f>COUNTIFS(Cotações!$E$2:$E$2,$A85)</f>
        <v/>
      </c>
      <c r="J85" s="32">
        <f>IF(I85=0,"—",_xlfn.MINIFS(Cotações!$J$2:$J$2,Cotações!$E$2:$E$2,$A85))</f>
        <v/>
      </c>
      <c r="K85" s="17">
        <f>IF(I85=0,"—",IFERROR(INDEX(Cotações!$H$2:$H$2,MATCH(1,INDEX((Cotações!$E$2:$E$2=$A85)*(Cotações!$J$2:$J$2=J85),0),0)),""))</f>
        <v/>
      </c>
      <c r="L85" s="18">
        <f>IF(I85=0,"—",IFERROR(J85*H85,""))</f>
        <v/>
      </c>
      <c r="M85" s="16" t="inlineStr"/>
    </row>
    <row r="86">
      <c r="A86" s="21" t="inlineStr">
        <is>
          <t>IT083</t>
        </is>
      </c>
      <c r="B86" s="22" t="inlineStr">
        <is>
          <t>Elétrica + Automação</t>
        </is>
      </c>
      <c r="C86" s="22" t="inlineStr">
        <is>
          <t>material</t>
        </is>
      </c>
      <c r="D86" s="22" t="n">
        <v>9</v>
      </c>
      <c r="E86" s="21" t="inlineStr">
        <is>
          <t>Tomadas 2P+T 20 A — 220 V</t>
        </is>
      </c>
      <c r="F86" s="21" t="inlineStr">
        <is>
          <t>identificadas (cor/etiqueta vermelha)</t>
        </is>
      </c>
      <c r="G86" s="21" t="inlineStr">
        <is>
          <t>un</t>
        </is>
      </c>
      <c r="H86" s="29" t="n">
        <v>16</v>
      </c>
      <c r="I86" s="21">
        <f>COUNTIFS(Cotações!$E$2:$E$2,$A86)</f>
        <v/>
      </c>
      <c r="J86" s="30">
        <f>IF(I86=0,"—",_xlfn.MINIFS(Cotações!$J$2:$J$2,Cotações!$E$2:$E$2,$A86))</f>
        <v/>
      </c>
      <c r="K86" s="22">
        <f>IF(I86=0,"—",IFERROR(INDEX(Cotações!$H$2:$H$2,MATCH(1,INDEX((Cotações!$E$2:$E$2=$A86)*(Cotações!$J$2:$J$2=J86),0),0)),""))</f>
        <v/>
      </c>
      <c r="L86" s="23">
        <f>IF(I86=0,"—",IFERROR(J86*H86,""))</f>
        <v/>
      </c>
      <c r="M86" s="21" t="inlineStr">
        <is>
          <t>2 por cômodo em média</t>
        </is>
      </c>
    </row>
    <row r="87">
      <c r="A87" s="16" t="inlineStr">
        <is>
          <t>IT084</t>
        </is>
      </c>
      <c r="B87" s="17" t="inlineStr">
        <is>
          <t>Elétrica + Automação</t>
        </is>
      </c>
      <c r="C87" s="17" t="inlineStr">
        <is>
          <t>material</t>
        </is>
      </c>
      <c r="D87" s="17" t="n">
        <v>9</v>
      </c>
      <c r="E87" s="16" t="inlineStr">
        <is>
          <t>Pontos de luz (teto/arandela/pendente)</t>
        </is>
      </c>
      <c r="F87" s="16" t="inlineStr"/>
      <c r="G87" s="16" t="inlineStr">
        <is>
          <t>un</t>
        </is>
      </c>
      <c r="H87" s="31" t="n">
        <v>26</v>
      </c>
      <c r="I87" s="16">
        <f>COUNTIFS(Cotações!$E$2:$E$2,$A87)</f>
        <v/>
      </c>
      <c r="J87" s="32">
        <f>IF(I87=0,"—",_xlfn.MINIFS(Cotações!$J$2:$J$2,Cotações!$E$2:$E$2,$A87))</f>
        <v/>
      </c>
      <c r="K87" s="17">
        <f>IF(I87=0,"—",IFERROR(INDEX(Cotações!$H$2:$H$2,MATCH(1,INDEX((Cotações!$E$2:$E$2=$A87)*(Cotações!$J$2:$J$2=J87),0),0)),""))</f>
        <v/>
      </c>
      <c r="L87" s="18">
        <f>IF(I87=0,"—",IFERROR(J87*H87,""))</f>
        <v/>
      </c>
      <c r="M87" s="16" t="inlineStr">
        <is>
          <t>inclui pendentes do pé-direito duplo</t>
        </is>
      </c>
    </row>
    <row r="88">
      <c r="A88" s="21" t="inlineStr">
        <is>
          <t>IT085</t>
        </is>
      </c>
      <c r="B88" s="22" t="inlineStr">
        <is>
          <t>Elétrica + Automação</t>
        </is>
      </c>
      <c r="C88" s="22" t="inlineStr">
        <is>
          <t>material</t>
        </is>
      </c>
      <c r="D88" s="22" t="n">
        <v>9</v>
      </c>
      <c r="E88" s="21" t="inlineStr">
        <is>
          <t>Fita LED + perfil alumínio</t>
        </is>
      </c>
      <c r="F88" s="21" t="inlineStr">
        <is>
          <t>sancas, closet, copa, escada</t>
        </is>
      </c>
      <c r="G88" s="21" t="inlineStr">
        <is>
          <t>m</t>
        </is>
      </c>
      <c r="H88" s="29" t="n">
        <v>22</v>
      </c>
      <c r="I88" s="21">
        <f>COUNTIFS(Cotações!$E$2:$E$2,$A88)</f>
        <v/>
      </c>
      <c r="J88" s="30">
        <f>IF(I88=0,"—",_xlfn.MINIFS(Cotações!$J$2:$J$2,Cotações!$E$2:$E$2,$A88))</f>
        <v/>
      </c>
      <c r="K88" s="22">
        <f>IF(I88=0,"—",IFERROR(INDEX(Cotações!$H$2:$H$2,MATCH(1,INDEX((Cotações!$E$2:$E$2=$A88)*(Cotações!$J$2:$J$2=J88),0),0)),""))</f>
        <v/>
      </c>
      <c r="L88" s="23">
        <f>IF(I88=0,"—",IFERROR(J88*H88,""))</f>
        <v/>
      </c>
      <c r="M88" s="21" t="inlineStr"/>
    </row>
    <row r="89">
      <c r="A89" s="16" t="inlineStr">
        <is>
          <t>IT086</t>
        </is>
      </c>
      <c r="B89" s="17" t="inlineStr">
        <is>
          <t>Elétrica + Automação</t>
        </is>
      </c>
      <c r="C89" s="17" t="inlineStr">
        <is>
          <t>material</t>
        </is>
      </c>
      <c r="D89" s="17" t="n">
        <v>9</v>
      </c>
      <c r="E89" s="16" t="inlineStr">
        <is>
          <t>Interruptores (bases p/ smart)</t>
        </is>
      </c>
      <c r="F89" s="16" t="inlineStr">
        <is>
          <t>ver seção 6</t>
        </is>
      </c>
      <c r="G89" s="16" t="inlineStr">
        <is>
          <t>un</t>
        </is>
      </c>
      <c r="H89" s="31" t="n">
        <v>18</v>
      </c>
      <c r="I89" s="16">
        <f>COUNTIFS(Cotações!$E$2:$E$2,$A89)</f>
        <v/>
      </c>
      <c r="J89" s="32">
        <f>IF(I89=0,"—",_xlfn.MINIFS(Cotações!$J$2:$J$2,Cotações!$E$2:$E$2,$A89))</f>
        <v/>
      </c>
      <c r="K89" s="17">
        <f>IF(I89=0,"—",IFERROR(INDEX(Cotações!$H$2:$H$2,MATCH(1,INDEX((Cotações!$E$2:$E$2=$A89)*(Cotações!$J$2:$J$2=J89),0),0)),""))</f>
        <v/>
      </c>
      <c r="L89" s="18">
        <f>IF(I89=0,"—",IFERROR(J89*H89,""))</f>
        <v/>
      </c>
      <c r="M89" s="16" t="inlineStr"/>
    </row>
    <row r="90">
      <c r="A90" s="21" t="inlineStr">
        <is>
          <t>IT087</t>
        </is>
      </c>
      <c r="B90" s="22" t="inlineStr">
        <is>
          <t>Elétrica + Automação</t>
        </is>
      </c>
      <c r="C90" s="22" t="inlineStr">
        <is>
          <t>material</t>
        </is>
      </c>
      <c r="D90" s="22" t="n">
        <v>9</v>
      </c>
      <c r="E90" s="21" t="inlineStr">
        <is>
          <t>Circuitos dedicados 220 V p/ AC</t>
        </is>
      </c>
      <c r="F90" s="21" t="inlineStr">
        <is>
          <t>ponto + dreno + tomada</t>
        </is>
      </c>
      <c r="G90" s="21" t="inlineStr">
        <is>
          <t>un</t>
        </is>
      </c>
      <c r="H90" s="29" t="n">
        <v>5</v>
      </c>
      <c r="I90" s="21">
        <f>COUNTIFS(Cotações!$E$2:$E$2,$A90)</f>
        <v/>
      </c>
      <c r="J90" s="30">
        <f>IF(I90=0,"—",_xlfn.MINIFS(Cotações!$J$2:$J$2,Cotações!$E$2:$E$2,$A90))</f>
        <v/>
      </c>
      <c r="K90" s="22">
        <f>IF(I90=0,"—",IFERROR(INDEX(Cotações!$H$2:$H$2,MATCH(1,INDEX((Cotações!$E$2:$E$2=$A90)*(Cotações!$J$2:$J$2=J90),0),0)),""))</f>
        <v/>
      </c>
      <c r="L90" s="23">
        <f>IF(I90=0,"—",IFERROR(J90*H90,""))</f>
        <v/>
      </c>
      <c r="M90" s="21" t="inlineStr">
        <is>
          <t>infra pronta; aparelhos em outra sessão</t>
        </is>
      </c>
    </row>
    <row r="91">
      <c r="A91" s="16" t="inlineStr">
        <is>
          <t>IT088</t>
        </is>
      </c>
      <c r="B91" s="17" t="inlineStr">
        <is>
          <t>Elétrica + Automação</t>
        </is>
      </c>
      <c r="C91" s="17" t="inlineStr">
        <is>
          <t>material</t>
        </is>
      </c>
      <c r="D91" s="17" t="n">
        <v>9</v>
      </c>
      <c r="E91" s="16" t="inlineStr">
        <is>
          <t>Tomadas externas IP55</t>
        </is>
      </c>
      <c r="F91" s="16" t="inlineStr">
        <is>
          <t>quintal, jardim, área de luz, garagem</t>
        </is>
      </c>
      <c r="G91" s="16" t="inlineStr">
        <is>
          <t>un</t>
        </is>
      </c>
      <c r="H91" s="31" t="n">
        <v>5</v>
      </c>
      <c r="I91" s="16">
        <f>COUNTIFS(Cotações!$E$2:$E$2,$A91)</f>
        <v/>
      </c>
      <c r="J91" s="32">
        <f>IF(I91=0,"—",_xlfn.MINIFS(Cotações!$J$2:$J$2,Cotações!$E$2:$E$2,$A91))</f>
        <v/>
      </c>
      <c r="K91" s="17">
        <f>IF(I91=0,"—",IFERROR(INDEX(Cotações!$H$2:$H$2,MATCH(1,INDEX((Cotações!$E$2:$E$2=$A91)*(Cotações!$J$2:$J$2=J91),0),0)),""))</f>
        <v/>
      </c>
      <c r="L91" s="18">
        <f>IF(I91=0,"—",IFERROR(J91*H91,""))</f>
        <v/>
      </c>
      <c r="M91" s="16" t="inlineStr">
        <is>
          <t>em circuito c/ DR</t>
        </is>
      </c>
    </row>
    <row r="92">
      <c r="A92" s="21" t="inlineStr">
        <is>
          <t>IT089</t>
        </is>
      </c>
      <c r="B92" s="22" t="inlineStr">
        <is>
          <t>Elétrica + Automação</t>
        </is>
      </c>
      <c r="C92" s="22" t="inlineStr">
        <is>
          <t>material</t>
        </is>
      </c>
      <c r="D92" s="22" t="n">
        <v>9</v>
      </c>
      <c r="E92" s="21" t="inlineStr">
        <is>
          <t>Cabo CAT6</t>
        </is>
      </c>
      <c r="F92" s="21" t="inlineStr">
        <is>
          <t>pontos fixos + câmeras + APs</t>
        </is>
      </c>
      <c r="G92" s="21" t="inlineStr">
        <is>
          <t>m</t>
        </is>
      </c>
      <c r="H92" s="29" t="n">
        <v>300</v>
      </c>
      <c r="I92" s="21">
        <f>COUNTIFS(Cotações!$E$2:$E$2,$A92)</f>
        <v/>
      </c>
      <c r="J92" s="30">
        <f>IF(I92=0,"—",_xlfn.MINIFS(Cotações!$J$2:$J$2,Cotações!$E$2:$E$2,$A92))</f>
        <v/>
      </c>
      <c r="K92" s="22">
        <f>IF(I92=0,"—",IFERROR(INDEX(Cotações!$H$2:$H$2,MATCH(1,INDEX((Cotações!$E$2:$E$2=$A92)*(Cotações!$J$2:$J$2=J92),0),0)),""))</f>
        <v/>
      </c>
      <c r="L92" s="23">
        <f>IF(I92=0,"—",IFERROR(J92*H92,""))</f>
        <v/>
      </c>
      <c r="M92" s="21" t="inlineStr"/>
    </row>
    <row r="93">
      <c r="A93" s="16" t="inlineStr">
        <is>
          <t>IT090</t>
        </is>
      </c>
      <c r="B93" s="17" t="inlineStr">
        <is>
          <t>Elétrica + Automação</t>
        </is>
      </c>
      <c r="C93" s="17" t="inlineStr">
        <is>
          <t>material</t>
        </is>
      </c>
      <c r="D93" s="17" t="n">
        <v>9</v>
      </c>
      <c r="E93" s="16" t="inlineStr">
        <is>
          <t>Pontos de rede (RJ45 duplos)</t>
        </is>
      </c>
      <c r="F93" s="16" t="inlineStr">
        <is>
          <t>TVs, escritório/mezanino, copa, técnica</t>
        </is>
      </c>
      <c r="G93" s="16" t="inlineStr">
        <is>
          <t>un</t>
        </is>
      </c>
      <c r="H93" s="31" t="n">
        <v>10</v>
      </c>
      <c r="I93" s="16">
        <f>COUNTIFS(Cotações!$E$2:$E$2,$A93)</f>
        <v/>
      </c>
      <c r="J93" s="32">
        <f>IF(I93=0,"—",_xlfn.MINIFS(Cotações!$J$2:$J$2,Cotações!$E$2:$E$2,$A93))</f>
        <v/>
      </c>
      <c r="K93" s="17">
        <f>IF(I93=0,"—",IFERROR(INDEX(Cotações!$H$2:$H$2,MATCH(1,INDEX((Cotações!$E$2:$E$2=$A93)*(Cotações!$J$2:$J$2=J93),0),0)),""))</f>
        <v/>
      </c>
      <c r="L93" s="18">
        <f>IF(I93=0,"—",IFERROR(J93*H93,""))</f>
        <v/>
      </c>
      <c r="M93" s="16" t="inlineStr"/>
    </row>
    <row r="94">
      <c r="A94" s="21" t="inlineStr">
        <is>
          <t>IT091</t>
        </is>
      </c>
      <c r="B94" s="22" t="inlineStr">
        <is>
          <t>Elétrica + Automação</t>
        </is>
      </c>
      <c r="C94" s="22" t="inlineStr">
        <is>
          <t>material</t>
        </is>
      </c>
      <c r="D94" s="22" t="n">
        <v>9</v>
      </c>
      <c r="E94" s="21" t="inlineStr">
        <is>
          <t>Rack 6U + patch panel + organizador</t>
        </is>
      </c>
      <c r="F94" s="21" t="inlineStr">
        <is>
          <t>na área técnica</t>
        </is>
      </c>
      <c r="G94" s="21" t="inlineStr">
        <is>
          <t>un</t>
        </is>
      </c>
      <c r="H94" s="29" t="n">
        <v>1</v>
      </c>
      <c r="I94" s="21">
        <f>COUNTIFS(Cotações!$E$2:$E$2,$A94)</f>
        <v/>
      </c>
      <c r="J94" s="30">
        <f>IF(I94=0,"—",_xlfn.MINIFS(Cotações!$J$2:$J$2,Cotações!$E$2:$E$2,$A94))</f>
        <v/>
      </c>
      <c r="K94" s="22">
        <f>IF(I94=0,"—",IFERROR(INDEX(Cotações!$H$2:$H$2,MATCH(1,INDEX((Cotações!$E$2:$E$2=$A94)*(Cotações!$J$2:$J$2=J94),0),0)),""))</f>
        <v/>
      </c>
      <c r="L94" s="23">
        <f>IF(I94=0,"—",IFERROR(J94*H94,""))</f>
        <v/>
      </c>
      <c r="M94" s="21" t="inlineStr"/>
    </row>
    <row r="95">
      <c r="A95" s="16" t="inlineStr">
        <is>
          <t>IT092</t>
        </is>
      </c>
      <c r="B95" s="17" t="inlineStr">
        <is>
          <t>Elétrica + Automação</t>
        </is>
      </c>
      <c r="C95" s="17" t="inlineStr">
        <is>
          <t>material</t>
        </is>
      </c>
      <c r="D95" s="17" t="n">
        <v>9</v>
      </c>
      <c r="E95" s="16" t="inlineStr">
        <is>
          <t>Switch PoE 16 portas</t>
        </is>
      </c>
      <c r="F95" s="16" t="inlineStr"/>
      <c r="G95" s="16" t="inlineStr">
        <is>
          <t>un</t>
        </is>
      </c>
      <c r="H95" s="31" t="n">
        <v>1</v>
      </c>
      <c r="I95" s="16">
        <f>COUNTIFS(Cotações!$E$2:$E$2,$A95)</f>
        <v/>
      </c>
      <c r="J95" s="32">
        <f>IF(I95=0,"—",_xlfn.MINIFS(Cotações!$J$2:$J$2,Cotações!$E$2:$E$2,$A95))</f>
        <v/>
      </c>
      <c r="K95" s="17">
        <f>IF(I95=0,"—",IFERROR(INDEX(Cotações!$H$2:$H$2,MATCH(1,INDEX((Cotações!$E$2:$E$2=$A95)*(Cotações!$J$2:$J$2=J95),0),0)),""))</f>
        <v/>
      </c>
      <c r="L95" s="18">
        <f>IF(I95=0,"—",IFERROR(J95*H95,""))</f>
        <v/>
      </c>
      <c r="M95" s="16" t="inlineStr">
        <is>
          <t>alimenta câmeras e APs</t>
        </is>
      </c>
    </row>
    <row r="96">
      <c r="A96" s="21" t="inlineStr">
        <is>
          <t>IT093</t>
        </is>
      </c>
      <c r="B96" s="22" t="inlineStr">
        <is>
          <t>Elétrica + Automação</t>
        </is>
      </c>
      <c r="C96" s="22" t="inlineStr">
        <is>
          <t>material</t>
        </is>
      </c>
      <c r="D96" s="22" t="n">
        <v>9</v>
      </c>
      <c r="E96" s="21" t="inlineStr">
        <is>
          <t>Access points Wi-Fi 6</t>
        </is>
      </c>
      <c r="F96" s="21" t="inlineStr">
        <is>
          <t>térreo + superior</t>
        </is>
      </c>
      <c r="G96" s="21" t="inlineStr">
        <is>
          <t>un</t>
        </is>
      </c>
      <c r="H96" s="29" t="n">
        <v>2</v>
      </c>
      <c r="I96" s="21">
        <f>COUNTIFS(Cotações!$E$2:$E$2,$A96)</f>
        <v/>
      </c>
      <c r="J96" s="30">
        <f>IF(I96=0,"—",_xlfn.MINIFS(Cotações!$J$2:$J$2,Cotações!$E$2:$E$2,$A96))</f>
        <v/>
      </c>
      <c r="K96" s="22">
        <f>IF(I96=0,"—",IFERROR(INDEX(Cotações!$H$2:$H$2,MATCH(1,INDEX((Cotações!$E$2:$E$2=$A96)*(Cotações!$J$2:$J$2=J96),0),0)),""))</f>
        <v/>
      </c>
      <c r="L96" s="23">
        <f>IF(I96=0,"—",IFERROR(J96*H96,""))</f>
        <v/>
      </c>
      <c r="M96" s="21" t="inlineStr">
        <is>
          <t>EPS atenua pouco, 2 bastam</t>
        </is>
      </c>
    </row>
    <row r="97">
      <c r="A97" s="16" t="inlineStr">
        <is>
          <t>IT094</t>
        </is>
      </c>
      <c r="B97" s="17" t="inlineStr">
        <is>
          <t>Elétrica + Automação</t>
        </is>
      </c>
      <c r="C97" s="17" t="inlineStr">
        <is>
          <t>material</t>
        </is>
      </c>
      <c r="D97" s="17" t="n">
        <v>9</v>
      </c>
      <c r="E97" s="16" t="inlineStr">
        <is>
          <t>Câmeras IP PoE externas</t>
        </is>
      </c>
      <c r="F97" s="16" t="inlineStr">
        <is>
          <t>frente, viela, quintal, garagem</t>
        </is>
      </c>
      <c r="G97" s="16" t="inlineStr">
        <is>
          <t>un</t>
        </is>
      </c>
      <c r="H97" s="31" t="n">
        <v>4</v>
      </c>
      <c r="I97" s="16">
        <f>COUNTIFS(Cotações!$E$2:$E$2,$A97)</f>
        <v/>
      </c>
      <c r="J97" s="32">
        <f>IF(I97=0,"—",_xlfn.MINIFS(Cotações!$J$2:$J$2,Cotações!$E$2:$E$2,$A97))</f>
        <v/>
      </c>
      <c r="K97" s="17">
        <f>IF(I97=0,"—",IFERROR(INDEX(Cotações!$H$2:$H$2,MATCH(1,INDEX((Cotações!$E$2:$E$2=$A97)*(Cotações!$J$2:$J$2=J97),0),0)),""))</f>
        <v/>
      </c>
      <c r="L97" s="18">
        <f>IF(I97=0,"—",IFERROR(J97*H97,""))</f>
        <v/>
      </c>
      <c r="M97" s="16" t="inlineStr"/>
    </row>
    <row r="98">
      <c r="A98" s="21" t="inlineStr">
        <is>
          <t>IT095</t>
        </is>
      </c>
      <c r="B98" s="22" t="inlineStr">
        <is>
          <t>Elétrica + Automação</t>
        </is>
      </c>
      <c r="C98" s="22" t="inlineStr">
        <is>
          <t>material</t>
        </is>
      </c>
      <c r="D98" s="22" t="n">
        <v>9</v>
      </c>
      <c r="E98" s="21" t="inlineStr">
        <is>
          <t>Videoporteiro IP</t>
        </is>
      </c>
      <c r="F98" s="21" t="inlineStr">
        <is>
          <t>sem muro: módulo na fachada/jardim</t>
        </is>
      </c>
      <c r="G98" s="21" t="inlineStr">
        <is>
          <t>un</t>
        </is>
      </c>
      <c r="H98" s="29" t="n">
        <v>1</v>
      </c>
      <c r="I98" s="21">
        <f>COUNTIFS(Cotações!$E$2:$E$2,$A98)</f>
        <v/>
      </c>
      <c r="J98" s="30">
        <f>IF(I98=0,"—",_xlfn.MINIFS(Cotações!$J$2:$J$2,Cotações!$E$2:$E$2,$A98))</f>
        <v/>
      </c>
      <c r="K98" s="22">
        <f>IF(I98=0,"—",IFERROR(INDEX(Cotações!$H$2:$H$2,MATCH(1,INDEX((Cotações!$E$2:$E$2=$A98)*(Cotações!$J$2:$J$2=J98),0),0)),""))</f>
        <v/>
      </c>
      <c r="L98" s="23">
        <f>IF(I98=0,"—",IFERROR(J98*H98,""))</f>
        <v/>
      </c>
      <c r="M98" s="21" t="inlineStr"/>
    </row>
    <row r="99">
      <c r="A99" s="16" t="inlineStr">
        <is>
          <t>IT096</t>
        </is>
      </c>
      <c r="B99" s="17" t="inlineStr">
        <is>
          <t>Elétrica + Automação</t>
        </is>
      </c>
      <c r="C99" s="17" t="inlineStr">
        <is>
          <t>material</t>
        </is>
      </c>
      <c r="D99" s="17" t="n">
        <v>9</v>
      </c>
      <c r="E99" s="16" t="inlineStr">
        <is>
          <t>Fechadura eletrônica</t>
        </is>
      </c>
      <c r="F99" s="16" t="inlineStr">
        <is>
          <t>porta de entrada (garagem→sala)</t>
        </is>
      </c>
      <c r="G99" s="16" t="inlineStr">
        <is>
          <t>un</t>
        </is>
      </c>
      <c r="H99" s="31" t="n">
        <v>1</v>
      </c>
      <c r="I99" s="16">
        <f>COUNTIFS(Cotações!$E$2:$E$2,$A99)</f>
        <v/>
      </c>
      <c r="J99" s="32">
        <f>IF(I99=0,"—",_xlfn.MINIFS(Cotações!$J$2:$J$2,Cotações!$E$2:$E$2,$A99))</f>
        <v/>
      </c>
      <c r="K99" s="17">
        <f>IF(I99=0,"—",IFERROR(INDEX(Cotações!$H$2:$H$2,MATCH(1,INDEX((Cotações!$E$2:$E$2=$A99)*(Cotações!$J$2:$J$2=J99),0),0)),""))</f>
        <v/>
      </c>
      <c r="L99" s="18">
        <f>IF(I99=0,"—",IFERROR(J99*H99,""))</f>
        <v/>
      </c>
      <c r="M99" s="16" t="inlineStr"/>
    </row>
    <row r="100">
      <c r="A100" s="21" t="inlineStr">
        <is>
          <t>IT097</t>
        </is>
      </c>
      <c r="B100" s="22" t="inlineStr">
        <is>
          <t>Elétrica + Automação</t>
        </is>
      </c>
      <c r="C100" s="22" t="inlineStr">
        <is>
          <t>material</t>
        </is>
      </c>
      <c r="D100" s="22" t="n">
        <v>9</v>
      </c>
      <c r="E100" s="21" t="inlineStr">
        <is>
          <t>Hub central (Home Assistant + coordenador Zigbee)</t>
        </is>
      </c>
      <c r="F100" s="21" t="inlineStr">
        <is>
          <t>mini PC ou appliance no rack</t>
        </is>
      </c>
      <c r="G100" s="21" t="inlineStr">
        <is>
          <t>un</t>
        </is>
      </c>
      <c r="H100" s="29" t="n">
        <v>1</v>
      </c>
      <c r="I100" s="21">
        <f>COUNTIFS(Cotações!$E$2:$E$2,$A100)</f>
        <v/>
      </c>
      <c r="J100" s="30">
        <f>IF(I100=0,"—",_xlfn.MINIFS(Cotações!$J$2:$J$2,Cotações!$E$2:$E$2,$A100))</f>
        <v/>
      </c>
      <c r="K100" s="22">
        <f>IF(I100=0,"—",IFERROR(INDEX(Cotações!$H$2:$H$2,MATCH(1,INDEX((Cotações!$E$2:$E$2=$A100)*(Cotações!$J$2:$J$2=J100),0),0)),""))</f>
        <v/>
      </c>
      <c r="L100" s="23">
        <f>IF(I100=0,"—",IFERROR(J100*H100,""))</f>
        <v/>
      </c>
      <c r="M100" s="21" t="inlineStr">
        <is>
          <t>controle local, sem dependência de nuvem</t>
        </is>
      </c>
    </row>
    <row r="101">
      <c r="A101" s="16" t="inlineStr">
        <is>
          <t>IT098</t>
        </is>
      </c>
      <c r="B101" s="17" t="inlineStr">
        <is>
          <t>Elétrica + Automação</t>
        </is>
      </c>
      <c r="C101" s="17" t="inlineStr">
        <is>
          <t>material</t>
        </is>
      </c>
      <c r="D101" s="17" t="n">
        <v>9</v>
      </c>
      <c r="E101" s="16" t="inlineStr">
        <is>
          <t>Interruptores inteligentes Zigbee/Matter</t>
        </is>
      </c>
      <c r="F101" s="16" t="inlineStr">
        <is>
          <t>c/ neutro, nas caixas 4×4</t>
        </is>
      </c>
      <c r="G101" s="16" t="inlineStr">
        <is>
          <t>un</t>
        </is>
      </c>
      <c r="H101" s="31" t="n">
        <v>18</v>
      </c>
      <c r="I101" s="16">
        <f>COUNTIFS(Cotações!$E$2:$E$2,$A101)</f>
        <v/>
      </c>
      <c r="J101" s="32">
        <f>IF(I101=0,"—",_xlfn.MINIFS(Cotações!$J$2:$J$2,Cotações!$E$2:$E$2,$A101))</f>
        <v/>
      </c>
      <c r="K101" s="17">
        <f>IF(I101=0,"—",IFERROR(INDEX(Cotações!$H$2:$H$2,MATCH(1,INDEX((Cotações!$E$2:$E$2=$A101)*(Cotações!$J$2:$J$2=J101),0),0)),""))</f>
        <v/>
      </c>
      <c r="L101" s="18">
        <f>IF(I101=0,"—",IFERROR(J101*H101,""))</f>
        <v/>
      </c>
      <c r="M101" s="16" t="inlineStr"/>
    </row>
    <row r="102">
      <c r="A102" s="21" t="inlineStr">
        <is>
          <t>IT099</t>
        </is>
      </c>
      <c r="B102" s="22" t="inlineStr">
        <is>
          <t>Elétrica + Automação</t>
        </is>
      </c>
      <c r="C102" s="22" t="inlineStr">
        <is>
          <t>material</t>
        </is>
      </c>
      <c r="D102" s="22" t="n">
        <v>9</v>
      </c>
      <c r="E102" s="21" t="inlineStr">
        <is>
          <t>Módulos relé/dimmer</t>
        </is>
      </c>
      <c r="F102" s="21" t="inlineStr">
        <is>
          <t>fitas LED, pendentes, cenas</t>
        </is>
      </c>
      <c r="G102" s="21" t="inlineStr">
        <is>
          <t>un</t>
        </is>
      </c>
      <c r="H102" s="29" t="n">
        <v>8</v>
      </c>
      <c r="I102" s="21">
        <f>COUNTIFS(Cotações!$E$2:$E$2,$A102)</f>
        <v/>
      </c>
      <c r="J102" s="30">
        <f>IF(I102=0,"—",_xlfn.MINIFS(Cotações!$J$2:$J$2,Cotações!$E$2:$E$2,$A102))</f>
        <v/>
      </c>
      <c r="K102" s="22">
        <f>IF(I102=0,"—",IFERROR(INDEX(Cotações!$H$2:$H$2,MATCH(1,INDEX((Cotações!$E$2:$E$2=$A102)*(Cotações!$J$2:$J$2=J102),0),0)),""))</f>
        <v/>
      </c>
      <c r="L102" s="23">
        <f>IF(I102=0,"—",IFERROR(J102*H102,""))</f>
        <v/>
      </c>
      <c r="M102" s="21" t="inlineStr"/>
    </row>
    <row r="103">
      <c r="A103" s="16" t="inlineStr">
        <is>
          <t>IT100</t>
        </is>
      </c>
      <c r="B103" s="17" t="inlineStr">
        <is>
          <t>Elétrica + Automação</t>
        </is>
      </c>
      <c r="C103" s="17" t="inlineStr">
        <is>
          <t>material</t>
        </is>
      </c>
      <c r="D103" s="17" t="n">
        <v>9</v>
      </c>
      <c r="E103" s="16" t="inlineStr">
        <is>
          <t>Sensores de presença/abertura</t>
        </is>
      </c>
      <c r="F103" s="16" t="inlineStr">
        <is>
          <t>circulações, escada, entrada</t>
        </is>
      </c>
      <c r="G103" s="16" t="inlineStr">
        <is>
          <t>un</t>
        </is>
      </c>
      <c r="H103" s="31" t="n">
        <v>8</v>
      </c>
      <c r="I103" s="16">
        <f>COUNTIFS(Cotações!$E$2:$E$2,$A103)</f>
        <v/>
      </c>
      <c r="J103" s="32">
        <f>IF(I103=0,"—",_xlfn.MINIFS(Cotações!$J$2:$J$2,Cotações!$E$2:$E$2,$A103))</f>
        <v/>
      </c>
      <c r="K103" s="17">
        <f>IF(I103=0,"—",IFERROR(INDEX(Cotações!$H$2:$H$2,MATCH(1,INDEX((Cotações!$E$2:$E$2=$A103)*(Cotações!$J$2:$J$2=J103),0),0)),""))</f>
        <v/>
      </c>
      <c r="L103" s="18">
        <f>IF(I103=0,"—",IFERROR(J103*H103,""))</f>
        <v/>
      </c>
      <c r="M103" s="16" t="inlineStr">
        <is>
          <t>escada aberta: luz automática</t>
        </is>
      </c>
    </row>
    <row r="104">
      <c r="A104" s="21" t="inlineStr">
        <is>
          <t>IT101</t>
        </is>
      </c>
      <c r="B104" s="22" t="inlineStr">
        <is>
          <t>Elétrica + Automação</t>
        </is>
      </c>
      <c r="C104" s="22" t="inlineStr">
        <is>
          <t>material</t>
        </is>
      </c>
      <c r="D104" s="22" t="n">
        <v>9</v>
      </c>
      <c r="E104" s="21" t="inlineStr">
        <is>
          <t>Termostatos/controle IR p/ AC</t>
        </is>
      </c>
      <c r="F104" s="21" t="inlineStr">
        <is>
          <t>integração dos 5 ambientes</t>
        </is>
      </c>
      <c r="G104" s="21" t="inlineStr">
        <is>
          <t>un</t>
        </is>
      </c>
      <c r="H104" s="29" t="n">
        <v>5</v>
      </c>
      <c r="I104" s="21">
        <f>COUNTIFS(Cotações!$E$2:$E$2,$A104)</f>
        <v/>
      </c>
      <c r="J104" s="30">
        <f>IF(I104=0,"—",_xlfn.MINIFS(Cotações!$J$2:$J$2,Cotações!$E$2:$E$2,$A104))</f>
        <v/>
      </c>
      <c r="K104" s="22">
        <f>IF(I104=0,"—",IFERROR(INDEX(Cotações!$H$2:$H$2,MATCH(1,INDEX((Cotações!$E$2:$E$2=$A104)*(Cotações!$J$2:$J$2=J104),0),0)),""))</f>
        <v/>
      </c>
      <c r="L104" s="23">
        <f>IF(I104=0,"—",IFERROR(J104*H104,""))</f>
        <v/>
      </c>
      <c r="M104" s="21" t="inlineStr"/>
    </row>
    <row r="105">
      <c r="A105" s="16" t="inlineStr">
        <is>
          <t>IT102</t>
        </is>
      </c>
      <c r="B105" s="17" t="inlineStr">
        <is>
          <t>Elétrica + Automação</t>
        </is>
      </c>
      <c r="C105" s="17" t="inlineStr">
        <is>
          <t>material</t>
        </is>
      </c>
      <c r="D105" s="17" t="n">
        <v>9</v>
      </c>
      <c r="E105" s="16" t="inlineStr">
        <is>
          <t>Integrações técnicas</t>
        </is>
      </c>
      <c r="F105" s="16" t="inlineStr">
        <is>
          <t>bomba de calor Wi-Fi, recirculação, pressurizador, básculas do lanternim</t>
        </is>
      </c>
      <c r="G105" s="16" t="inlineStr">
        <is>
          <t>vb</t>
        </is>
      </c>
      <c r="H105" s="31" t="n">
        <v>1</v>
      </c>
      <c r="I105" s="16">
        <f>COUNTIFS(Cotações!$E$2:$E$2,$A105)</f>
        <v/>
      </c>
      <c r="J105" s="32">
        <f>IF(I105=0,"—",_xlfn.MINIFS(Cotações!$J$2:$J$2,Cotações!$E$2:$E$2,$A105))</f>
        <v/>
      </c>
      <c r="K105" s="17">
        <f>IF(I105=0,"—",IFERROR(INDEX(Cotações!$H$2:$H$2,MATCH(1,INDEX((Cotações!$E$2:$E$2=$A105)*(Cotações!$J$2:$J$2=J105),0),0)),""))</f>
        <v/>
      </c>
      <c r="L105" s="18">
        <f>IF(I105=0,"—",IFERROR(J105*H105,""))</f>
        <v/>
      </c>
      <c r="M105" s="16" t="inlineStr">
        <is>
          <t>relés no QDC/técnica</t>
        </is>
      </c>
    </row>
    <row r="106">
      <c r="A106" s="21" t="inlineStr">
        <is>
          <t>IT103</t>
        </is>
      </c>
      <c r="B106" s="22" t="inlineStr">
        <is>
          <t>Elétrica + Automação</t>
        </is>
      </c>
      <c r="C106" s="22" t="inlineStr">
        <is>
          <t>material</t>
        </is>
      </c>
      <c r="D106" s="22" t="n">
        <v>9</v>
      </c>
      <c r="E106" s="21" t="inlineStr">
        <is>
          <t>Estação meteo + sensor chuva</t>
        </is>
      </c>
      <c r="F106" s="21" t="inlineStr">
        <is>
          <t>automatiza básculas e irrigação futura</t>
        </is>
      </c>
      <c r="G106" s="21" t="inlineStr">
        <is>
          <t>un</t>
        </is>
      </c>
      <c r="H106" s="29" t="n">
        <v>1</v>
      </c>
      <c r="I106" s="21">
        <f>COUNTIFS(Cotações!$E$2:$E$2,$A106)</f>
        <v/>
      </c>
      <c r="J106" s="30">
        <f>IF(I106=0,"—",_xlfn.MINIFS(Cotações!$J$2:$J$2,Cotações!$E$2:$E$2,$A106))</f>
        <v/>
      </c>
      <c r="K106" s="22">
        <f>IF(I106=0,"—",IFERROR(INDEX(Cotações!$H$2:$H$2,MATCH(1,INDEX((Cotações!$E$2:$E$2=$A106)*(Cotações!$J$2:$J$2=J106),0),0)),""))</f>
        <v/>
      </c>
      <c r="L106" s="23">
        <f>IF(I106=0,"—",IFERROR(J106*H106,""))</f>
        <v/>
      </c>
      <c r="M106" s="21" t="inlineStr"/>
    </row>
    <row r="107">
      <c r="A107" s="16" t="inlineStr">
        <is>
          <t>IT104</t>
        </is>
      </c>
      <c r="B107" s="17" t="inlineStr">
        <is>
          <t>Elétrica + Automação</t>
        </is>
      </c>
      <c r="C107" s="17" t="inlineStr">
        <is>
          <t>material</t>
        </is>
      </c>
      <c r="D107" s="17" t="n">
        <v>9</v>
      </c>
      <c r="E107" s="16" t="inlineStr">
        <is>
          <t>Cabo 10 mm² — circuito Invisacook 40 A</t>
        </is>
      </c>
      <c r="F107" s="16" t="inlineStr">
        <is>
          <t>ilha da cozinha, 220 V bifásico</t>
        </is>
      </c>
      <c r="G107" s="16" t="inlineStr">
        <is>
          <t>m</t>
        </is>
      </c>
      <c r="H107" s="31" t="n">
        <v>14</v>
      </c>
      <c r="I107" s="16">
        <f>COUNTIFS(Cotações!$E$2:$E$2,$A107)</f>
        <v/>
      </c>
      <c r="J107" s="32">
        <f>IF(I107=0,"—",_xlfn.MINIFS(Cotações!$J$2:$J$2,Cotações!$E$2:$E$2,$A107))</f>
        <v/>
      </c>
      <c r="K107" s="17">
        <f>IF(I107=0,"—",IFERROR(INDEX(Cotações!$H$2:$H$2,MATCH(1,INDEX((Cotações!$E$2:$E$2=$A107)*(Cotações!$J$2:$J$2=J107),0),0)),""))</f>
        <v/>
      </c>
      <c r="L107" s="18">
        <f>IF(I107=0,"—",IFERROR(J107*H107,""))</f>
        <v/>
      </c>
      <c r="M107" s="16" t="inlineStr">
        <is>
          <t>dedicado</t>
        </is>
      </c>
    </row>
    <row r="108">
      <c r="A108" s="21" t="inlineStr">
        <is>
          <t>IT105</t>
        </is>
      </c>
      <c r="B108" s="22" t="inlineStr">
        <is>
          <t>Elétrica + Automação</t>
        </is>
      </c>
      <c r="C108" s="22" t="inlineStr">
        <is>
          <t>material</t>
        </is>
      </c>
      <c r="D108" s="22" t="n">
        <v>9</v>
      </c>
      <c r="E108" s="21" t="inlineStr">
        <is>
          <t>Eletroduto 32 mm embutido no RADIER → ilha</t>
        </is>
      </c>
      <c r="F108" s="21" t="inlineStr">
        <is>
          <t>posicionar ANTES da concretagem</t>
        </is>
      </c>
      <c r="G108" s="21" t="inlineStr">
        <is>
          <t>m</t>
        </is>
      </c>
      <c r="H108" s="29" t="n">
        <v>6</v>
      </c>
      <c r="I108" s="21">
        <f>COUNTIFS(Cotações!$E$2:$E$2,$A108)</f>
        <v/>
      </c>
      <c r="J108" s="30">
        <f>IF(I108=0,"—",_xlfn.MINIFS(Cotações!$J$2:$J$2,Cotações!$E$2:$E$2,$A108))</f>
        <v/>
      </c>
      <c r="K108" s="22">
        <f>IF(I108=0,"—",IFERROR(INDEX(Cotações!$H$2:$H$2,MATCH(1,INDEX((Cotações!$E$2:$E$2=$A108)*(Cotações!$J$2:$J$2=J108),0),0)),""))</f>
        <v/>
      </c>
      <c r="L108" s="23">
        <f>IF(I108=0,"—",IFERROR(J108*H108,""))</f>
        <v/>
      </c>
      <c r="M108" s="21" t="inlineStr">
        <is>
          <t>ponto sem retorno</t>
        </is>
      </c>
    </row>
    <row r="109">
      <c r="A109" s="16" t="inlineStr">
        <is>
          <t>IT106</t>
        </is>
      </c>
      <c r="B109" s="17" t="inlineStr">
        <is>
          <t>Elétrica + Automação</t>
        </is>
      </c>
      <c r="C109" s="17" t="inlineStr">
        <is>
          <t>material</t>
        </is>
      </c>
      <c r="D109" s="17" t="n">
        <v>9</v>
      </c>
      <c r="E109" s="16" t="inlineStr">
        <is>
          <t>Disjuntor bifásico 40 A + conexão na ilha</t>
        </is>
      </c>
      <c r="F109" s="16" t="inlineStr"/>
      <c r="G109" s="16" t="inlineStr">
        <is>
          <t>un</t>
        </is>
      </c>
      <c r="H109" s="31" t="n">
        <v>1</v>
      </c>
      <c r="I109" s="16">
        <f>COUNTIFS(Cotações!$E$2:$E$2,$A109)</f>
        <v/>
      </c>
      <c r="J109" s="32">
        <f>IF(I109=0,"—",_xlfn.MINIFS(Cotações!$J$2:$J$2,Cotações!$E$2:$E$2,$A109))</f>
        <v/>
      </c>
      <c r="K109" s="17">
        <f>IF(I109=0,"—",IFERROR(INDEX(Cotações!$H$2:$H$2,MATCH(1,INDEX((Cotações!$E$2:$E$2=$A109)*(Cotações!$J$2:$J$2=J109),0),0)),""))</f>
        <v/>
      </c>
      <c r="L109" s="18">
        <f>IF(I109=0,"—",IFERROR(J109*H109,""))</f>
        <v/>
      </c>
      <c r="M109" s="16" t="inlineStr"/>
    </row>
    <row r="110">
      <c r="A110" s="21" t="inlineStr">
        <is>
          <t>IT107</t>
        </is>
      </c>
      <c r="B110" s="22" t="inlineStr">
        <is>
          <t>Elétrica + Automação</t>
        </is>
      </c>
      <c r="C110" s="22" t="inlineStr">
        <is>
          <t>material</t>
        </is>
      </c>
      <c r="D110" s="22" t="n">
        <v>9</v>
      </c>
      <c r="E110" s="21" t="inlineStr">
        <is>
          <t>Circuitos varanda gourmet (luz + tomadas IP55 + 220 V)</t>
        </is>
      </c>
      <c r="F110" s="21" t="inlineStr">
        <is>
          <t>em circuito c/ DR</t>
        </is>
      </c>
      <c r="G110" s="21" t="inlineStr">
        <is>
          <t>vb</t>
        </is>
      </c>
      <c r="H110" s="29" t="n">
        <v>1</v>
      </c>
      <c r="I110" s="21">
        <f>COUNTIFS(Cotações!$E$2:$E$2,$A110)</f>
        <v/>
      </c>
      <c r="J110" s="30">
        <f>IF(I110=0,"—",_xlfn.MINIFS(Cotações!$J$2:$J$2,Cotações!$E$2:$E$2,$A110))</f>
        <v/>
      </c>
      <c r="K110" s="22">
        <f>IF(I110=0,"—",IFERROR(INDEX(Cotações!$H$2:$H$2,MATCH(1,INDEX((Cotações!$E$2:$E$2=$A110)*(Cotações!$J$2:$J$2=J110),0),0)),""))</f>
        <v/>
      </c>
      <c r="L110" s="23">
        <f>IF(I110=0,"—",IFERROR(J110*H110,""))</f>
        <v/>
      </c>
      <c r="M110" s="21" t="inlineStr">
        <is>
          <t>inclui ponto p/ equipamentos</t>
        </is>
      </c>
    </row>
    <row r="111">
      <c r="A111" s="16" t="inlineStr">
        <is>
          <t>IT108</t>
        </is>
      </c>
      <c r="B111" s="17" t="inlineStr">
        <is>
          <t>Climatização</t>
        </is>
      </c>
      <c r="C111" s="17" t="inlineStr">
        <is>
          <t>material</t>
        </is>
      </c>
      <c r="D111" s="17" t="n">
        <v>10</v>
      </c>
      <c r="E111" s="16" t="inlineStr">
        <is>
          <t>Condensadora multi-split tri inverter R-32</t>
        </is>
      </c>
      <c r="F111" s="16" t="inlineStr">
        <is>
          <t>~27.000 BTU, Wi-Fi/Matter</t>
        </is>
      </c>
      <c r="G111" s="16" t="inlineStr">
        <is>
          <t>un</t>
        </is>
      </c>
      <c r="H111" s="31" t="n">
        <v>1</v>
      </c>
      <c r="I111" s="16">
        <f>COUNTIFS(Cotações!$E$2:$E$2,$A111)</f>
        <v/>
      </c>
      <c r="J111" s="32">
        <f>IF(I111=0,"—",_xlfn.MINIFS(Cotações!$J$2:$J$2,Cotações!$E$2:$E$2,$A111))</f>
        <v/>
      </c>
      <c r="K111" s="17">
        <f>IF(I111=0,"—",IFERROR(INDEX(Cotações!$H$2:$H$2,MATCH(1,INDEX((Cotações!$E$2:$E$2=$A111)*(Cotações!$J$2:$J$2=J111),0),0)),""))</f>
        <v/>
      </c>
      <c r="L111" s="18">
        <f>IF(I111=0,"—",IFERROR(J111*H111,""))</f>
        <v/>
      </c>
      <c r="M111" s="16" t="inlineStr">
        <is>
          <t>suíte + quarto + reserva mezanino · alto do poço de luz c/ defletores</t>
        </is>
      </c>
    </row>
    <row r="112">
      <c r="A112" s="21" t="inlineStr">
        <is>
          <t>IT109</t>
        </is>
      </c>
      <c r="B112" s="22" t="inlineStr">
        <is>
          <t>Climatização</t>
        </is>
      </c>
      <c r="C112" s="22" t="inlineStr">
        <is>
          <t>material</t>
        </is>
      </c>
      <c r="D112" s="22" t="n">
        <v>10</v>
      </c>
      <c r="E112" s="21" t="inlineStr">
        <is>
          <t>Evaporadora hi-wall 9.000 BTU (multi)</t>
        </is>
      </c>
      <c r="F112" s="21" t="inlineStr">
        <is>
          <t>quente/frio</t>
        </is>
      </c>
      <c r="G112" s="21" t="inlineStr">
        <is>
          <t>un</t>
        </is>
      </c>
      <c r="H112" s="29" t="n">
        <v>2</v>
      </c>
      <c r="I112" s="21">
        <f>COUNTIFS(Cotações!$E$2:$E$2,$A112)</f>
        <v/>
      </c>
      <c r="J112" s="30">
        <f>IF(I112=0,"—",_xlfn.MINIFS(Cotações!$J$2:$J$2,Cotações!$E$2:$E$2,$A112))</f>
        <v/>
      </c>
      <c r="K112" s="22">
        <f>IF(I112=0,"—",IFERROR(INDEX(Cotações!$H$2:$H$2,MATCH(1,INDEX((Cotações!$E$2:$E$2=$A112)*(Cotações!$J$2:$J$2=J112),0),0)),""))</f>
        <v/>
      </c>
      <c r="L112" s="23">
        <f>IF(I112=0,"—",IFERROR(J112*H112,""))</f>
        <v/>
      </c>
      <c r="M112" s="21" t="inlineStr">
        <is>
          <t>suíte e quarto — fluxo fora da cama</t>
        </is>
      </c>
    </row>
    <row r="113">
      <c r="A113" s="16" t="inlineStr">
        <is>
          <t>IT110</t>
        </is>
      </c>
      <c r="B113" s="17" t="inlineStr">
        <is>
          <t>Climatização</t>
        </is>
      </c>
      <c r="C113" s="17" t="inlineStr">
        <is>
          <t>material</t>
        </is>
      </c>
      <c r="D113" s="17" t="n">
        <v>10</v>
      </c>
      <c r="E113" s="16" t="inlineStr">
        <is>
          <t>Split independente da sala 18–22.000 BTU</t>
        </is>
      </c>
      <c r="F113" s="16" t="inlineStr">
        <is>
          <t>piso-teto ou hi-wall a ~2,5 m</t>
        </is>
      </c>
      <c r="G113" s="16" t="inlineStr">
        <is>
          <t>un</t>
        </is>
      </c>
      <c r="H113" s="31" t="n">
        <v>1</v>
      </c>
      <c r="I113" s="16">
        <f>COUNTIFS(Cotações!$E$2:$E$2,$A113)</f>
        <v/>
      </c>
      <c r="J113" s="32">
        <f>IF(I113=0,"—",_xlfn.MINIFS(Cotações!$J$2:$J$2,Cotações!$E$2:$E$2,$A113))</f>
        <v/>
      </c>
      <c r="K113" s="17">
        <f>IF(I113=0,"—",IFERROR(INDEX(Cotações!$H$2:$H$2,MATCH(1,INDEX((Cotações!$E$2:$E$2=$A113)*(Cotações!$J$2:$J$2=J113),0),0)),""))</f>
        <v/>
      </c>
      <c r="L113" s="18">
        <f>IF(I113=0,"—",IFERROR(J113*H113,""))</f>
        <v/>
      </c>
      <c r="M113" s="16" t="inlineStr">
        <is>
          <t>parede da cozinha, quente/frio</t>
        </is>
      </c>
    </row>
    <row r="114">
      <c r="A114" s="21" t="inlineStr">
        <is>
          <t>IT111</t>
        </is>
      </c>
      <c r="B114" s="22" t="inlineStr">
        <is>
          <t>Climatização</t>
        </is>
      </c>
      <c r="C114" s="22" t="inlineStr">
        <is>
          <t>material</t>
        </is>
      </c>
      <c r="D114" s="22" t="n">
        <v>10</v>
      </c>
      <c r="E114" s="21" t="inlineStr">
        <is>
          <t>Ventilador de teto destratificador c/ reversão</t>
        </is>
      </c>
      <c r="F114" s="21" t="inlineStr">
        <is>
          <t>no vão duplo</t>
        </is>
      </c>
      <c r="G114" s="21" t="inlineStr">
        <is>
          <t>un</t>
        </is>
      </c>
      <c r="H114" s="29" t="n">
        <v>1</v>
      </c>
      <c r="I114" s="21">
        <f>COUNTIFS(Cotações!$E$2:$E$2,$A114)</f>
        <v/>
      </c>
      <c r="J114" s="30">
        <f>IF(I114=0,"—",_xlfn.MINIFS(Cotações!$J$2:$J$2,Cotações!$E$2:$E$2,$A114))</f>
        <v/>
      </c>
      <c r="K114" s="22">
        <f>IF(I114=0,"—",IFERROR(INDEX(Cotações!$H$2:$H$2,MATCH(1,INDEX((Cotações!$E$2:$E$2=$A114)*(Cotações!$J$2:$J$2=J114),0),0)),""))</f>
        <v/>
      </c>
      <c r="L114" s="23">
        <f>IF(I114=0,"—",IFERROR(J114*H114,""))</f>
        <v/>
      </c>
      <c r="M114" s="21" t="inlineStr">
        <is>
          <t>inverno: devolve o ar quente p/ baixo</t>
        </is>
      </c>
    </row>
    <row r="115">
      <c r="A115" s="16" t="inlineStr">
        <is>
          <t>IT112</t>
        </is>
      </c>
      <c r="B115" s="17" t="inlineStr">
        <is>
          <t>Climatização</t>
        </is>
      </c>
      <c r="C115" s="17" t="inlineStr">
        <is>
          <t>material</t>
        </is>
      </c>
      <c r="D115" s="17" t="n">
        <v>10</v>
      </c>
      <c r="E115" s="16" t="inlineStr">
        <is>
          <t>Linha frigorígena 1/4"+3/8" isolada</t>
        </is>
      </c>
      <c r="F115" s="16" t="inlineStr">
        <is>
          <t>pares suíte/quarto/mezanino (seca)</t>
        </is>
      </c>
      <c r="G115" s="16" t="inlineStr">
        <is>
          <t>m</t>
        </is>
      </c>
      <c r="H115" s="31" t="n">
        <v>34</v>
      </c>
      <c r="I115" s="16">
        <f>COUNTIFS(Cotações!$E$2:$E$2,$A115)</f>
        <v/>
      </c>
      <c r="J115" s="32">
        <f>IF(I115=0,"—",_xlfn.MINIFS(Cotações!$J$2:$J$2,Cotações!$E$2:$E$2,$A115))</f>
        <v/>
      </c>
      <c r="K115" s="17">
        <f>IF(I115=0,"—",IFERROR(INDEX(Cotações!$H$2:$H$2,MATCH(1,INDEX((Cotações!$E$2:$E$2=$A115)*(Cotações!$J$2:$J$2=J115),0),0)),""))</f>
        <v/>
      </c>
      <c r="L115" s="18">
        <f>IF(I115=0,"—",IFERROR(J115*H115,""))</f>
        <v/>
      </c>
      <c r="M115" s="16" t="inlineStr">
        <is>
          <t>embutir no EPS ANTES do reboco</t>
        </is>
      </c>
    </row>
    <row r="116">
      <c r="A116" s="21" t="inlineStr">
        <is>
          <t>IT113</t>
        </is>
      </c>
      <c r="B116" s="22" t="inlineStr">
        <is>
          <t>Climatização</t>
        </is>
      </c>
      <c r="C116" s="22" t="inlineStr">
        <is>
          <t>material</t>
        </is>
      </c>
      <c r="D116" s="22" t="n">
        <v>10</v>
      </c>
      <c r="E116" s="21" t="inlineStr">
        <is>
          <t>Linha frigorígena 1/4"+1/2" isolada</t>
        </is>
      </c>
      <c r="F116" s="21" t="inlineStr">
        <is>
          <t>sala</t>
        </is>
      </c>
      <c r="G116" s="21" t="inlineStr">
        <is>
          <t>m</t>
        </is>
      </c>
      <c r="H116" s="29" t="n">
        <v>8</v>
      </c>
      <c r="I116" s="21">
        <f>COUNTIFS(Cotações!$E$2:$E$2,$A116)</f>
        <v/>
      </c>
      <c r="J116" s="30">
        <f>IF(I116=0,"—",_xlfn.MINIFS(Cotações!$J$2:$J$2,Cotações!$E$2:$E$2,$A116))</f>
        <v/>
      </c>
      <c r="K116" s="22">
        <f>IF(I116=0,"—",IFERROR(INDEX(Cotações!$H$2:$H$2,MATCH(1,INDEX((Cotações!$E$2:$E$2=$A116)*(Cotações!$J$2:$J$2=J116),0),0)),""))</f>
        <v/>
      </c>
      <c r="L116" s="23">
        <f>IF(I116=0,"—",IFERROR(J116*H116,""))</f>
        <v/>
      </c>
      <c r="M116" s="21" t="inlineStr"/>
    </row>
    <row r="117">
      <c r="A117" s="16" t="inlineStr">
        <is>
          <t>IT114</t>
        </is>
      </c>
      <c r="B117" s="17" t="inlineStr">
        <is>
          <t>Climatização</t>
        </is>
      </c>
      <c r="C117" s="17" t="inlineStr">
        <is>
          <t>material</t>
        </is>
      </c>
      <c r="D117" s="17" t="n">
        <v>10</v>
      </c>
      <c r="E117" s="16" t="inlineStr">
        <is>
          <t>Suportes, calços antivibração e defletores</t>
        </is>
      </c>
      <c r="F117" s="16" t="inlineStr"/>
      <c r="G117" s="16" t="inlineStr">
        <is>
          <t>cj</t>
        </is>
      </c>
      <c r="H117" s="31" t="n">
        <v>3</v>
      </c>
      <c r="I117" s="16">
        <f>COUNTIFS(Cotações!$E$2:$E$2,$A117)</f>
        <v/>
      </c>
      <c r="J117" s="32">
        <f>IF(I117=0,"—",_xlfn.MINIFS(Cotações!$J$2:$J$2,Cotações!$E$2:$E$2,$A117))</f>
        <v/>
      </c>
      <c r="K117" s="17">
        <f>IF(I117=0,"—",IFERROR(INDEX(Cotações!$H$2:$H$2,MATCH(1,INDEX((Cotações!$E$2:$E$2=$A117)*(Cotações!$J$2:$J$2=J117),0),0)),""))</f>
        <v/>
      </c>
      <c r="L117" s="18">
        <f>IF(I117=0,"—",IFERROR(J117*H117,""))</f>
        <v/>
      </c>
      <c r="M117" s="16" t="inlineStr"/>
    </row>
    <row r="118">
      <c r="A118" s="21" t="inlineStr">
        <is>
          <t>IT115</t>
        </is>
      </c>
      <c r="B118" s="22" t="inlineStr">
        <is>
          <t>Climatização</t>
        </is>
      </c>
      <c r="C118" s="22" t="inlineStr">
        <is>
          <t>material</t>
        </is>
      </c>
      <c r="D118" s="22" t="n">
        <v>10</v>
      </c>
      <c r="E118" s="21" t="inlineStr">
        <is>
          <t>Drenos PVC 25 mm c/ sifão</t>
        </is>
      </c>
      <c r="F118" s="21" t="inlineStr">
        <is>
          <t>conduzidos ao esgoto/área de luz</t>
        </is>
      </c>
      <c r="G118" s="21" t="inlineStr">
        <is>
          <t>m</t>
        </is>
      </c>
      <c r="H118" s="29" t="n">
        <v>20</v>
      </c>
      <c r="I118" s="21">
        <f>COUNTIFS(Cotações!$E$2:$E$2,$A118)</f>
        <v/>
      </c>
      <c r="J118" s="30">
        <f>IF(I118=0,"—",_xlfn.MINIFS(Cotações!$J$2:$J$2,Cotações!$E$2:$E$2,$A118))</f>
        <v/>
      </c>
      <c r="K118" s="22">
        <f>IF(I118=0,"—",IFERROR(INDEX(Cotações!$H$2:$H$2,MATCH(1,INDEX((Cotações!$E$2:$E$2=$A118)*(Cotações!$J$2:$J$2=J118),0),0)),""))</f>
        <v/>
      </c>
      <c r="L118" s="23">
        <f>IF(I118=0,"—",IFERROR(J118*H118,""))</f>
        <v/>
      </c>
      <c r="M118" s="21" t="inlineStr">
        <is>
          <t>nunca pingar na fachada</t>
        </is>
      </c>
    </row>
    <row r="119">
      <c r="A119" s="16" t="inlineStr">
        <is>
          <t>IT116</t>
        </is>
      </c>
      <c r="B119" s="17" t="inlineStr">
        <is>
          <t>Climatização</t>
        </is>
      </c>
      <c r="C119" s="17" t="inlineStr">
        <is>
          <t>material</t>
        </is>
      </c>
      <c r="D119" s="17" t="n">
        <v>10</v>
      </c>
      <c r="E119" s="16" t="inlineStr">
        <is>
          <t>Vácuo, carga R-32 e mão de obra de instalação</t>
        </is>
      </c>
      <c r="F119" s="16" t="inlineStr"/>
      <c r="G119" s="16" t="inlineStr">
        <is>
          <t>vb</t>
        </is>
      </c>
      <c r="H119" s="31" t="n">
        <v>1</v>
      </c>
      <c r="I119" s="16">
        <f>COUNTIFS(Cotações!$E$2:$E$2,$A119)</f>
        <v/>
      </c>
      <c r="J119" s="32">
        <f>IF(I119=0,"—",_xlfn.MINIFS(Cotações!$J$2:$J$2,Cotações!$E$2:$E$2,$A119))</f>
        <v/>
      </c>
      <c r="K119" s="17">
        <f>IF(I119=0,"—",IFERROR(INDEX(Cotações!$H$2:$H$2,MATCH(1,INDEX((Cotações!$E$2:$E$2=$A119)*(Cotações!$J$2:$J$2=J119),0),0)),""))</f>
        <v/>
      </c>
      <c r="L119" s="18">
        <f>IF(I119=0,"—",IFERROR(J119*H119,""))</f>
        <v/>
      </c>
      <c r="M119" s="16" t="inlineStr">
        <is>
          <t>conferir limite de linha do multi (~15 m suíte)</t>
        </is>
      </c>
    </row>
    <row r="120">
      <c r="A120" s="21" t="inlineStr">
        <is>
          <t>IT117</t>
        </is>
      </c>
      <c r="B120" s="22" t="inlineStr">
        <is>
          <t>Geral / Estrutura</t>
        </is>
      </c>
      <c r="C120" s="22" t="inlineStr">
        <is>
          <t>material</t>
        </is>
      </c>
      <c r="D120" s="22" t="n">
        <v>11</v>
      </c>
      <c r="E120" s="21" t="inlineStr">
        <is>
          <t>Forro nivelado gesso acartonado + EPS — pav. superior (quartos, copa, banheiros, corredor)</t>
        </is>
      </c>
      <c r="F120" s="21" t="inlineStr">
        <is>
          <t>não acompanha a água do telhado · placas EPS sobre perfilado + gesso</t>
        </is>
      </c>
      <c r="G120" s="21" t="inlineStr">
        <is>
          <t>m²</t>
        </is>
      </c>
      <c r="H120" s="29" t="n">
        <v>47</v>
      </c>
      <c r="I120" s="21">
        <f>COUNTIFS(Cotações!$E$2:$E$2,$A120)</f>
        <v/>
      </c>
      <c r="J120" s="30">
        <f>IF(I120=0,"—",_xlfn.MINIFS(Cotações!$J$2:$J$2,Cotações!$E$2:$E$2,$A120))</f>
        <v/>
      </c>
      <c r="K120" s="22">
        <f>IF(I120=0,"—",IFERROR(INDEX(Cotações!$H$2:$H$2,MATCH(1,INDEX((Cotações!$E$2:$E$2=$A120)*(Cotações!$J$2:$J$2=J120),0),0)),""))</f>
        <v/>
      </c>
      <c r="L120" s="23">
        <f>IF(I120=0,"—",IFERROR(J120*H120,""))</f>
        <v/>
      </c>
      <c r="M120" s="21" t="inlineStr">
        <is>
          <t>SEM o mezanino (forro de madeira) · embutir iluminação e sensores antes do fechamento · alçapões de inspeção</t>
        </is>
      </c>
    </row>
    <row r="121">
      <c r="A121" s="16" t="inlineStr">
        <is>
          <t>IT118</t>
        </is>
      </c>
      <c r="B121" s="17" t="inlineStr">
        <is>
          <t>Geral / Estrutura</t>
        </is>
      </c>
      <c r="C121" s="17" t="inlineStr">
        <is>
          <t>material</t>
        </is>
      </c>
      <c r="D121" s="17" t="n">
        <v>11</v>
      </c>
      <c r="E121" s="16" t="inlineStr">
        <is>
          <t>Forro de madeira acompanhando o telhado — mezanino + vão livre do pé-direito duplo</t>
        </is>
      </c>
      <c r="F121" s="16" t="inlineStr">
        <is>
          <t>lambril (cedrinho/pinus autoclavado) fixado sob as terças, acompanhando as duas águas</t>
        </is>
      </c>
      <c r="G121" s="16" t="inlineStr">
        <is>
          <t>m²</t>
        </is>
      </c>
      <c r="H121" s="31" t="n">
        <v>45</v>
      </c>
      <c r="I121" s="16">
        <f>COUNTIFS(Cotações!$E$2:$E$2,$A121)</f>
        <v/>
      </c>
      <c r="J121" s="32">
        <f>IF(I121=0,"—",_xlfn.MINIFS(Cotações!$J$2:$J$2,Cotações!$E$2:$E$2,$A121))</f>
        <v/>
      </c>
      <c r="K121" s="17">
        <f>IF(I121=0,"—",IFERROR(INDEX(Cotações!$H$2:$H$2,MATCH(1,INDEX((Cotações!$E$2:$E$2=$A121)*(Cotações!$J$2:$J$2=J121),0),0)),""))</f>
        <v/>
      </c>
      <c r="L121" s="18">
        <f>IF(I121=0,"—",IFERROR(J121*H121,""))</f>
        <v/>
      </c>
      <c r="M121" s="16" t="inlineStr">
        <is>
          <t>item de conforto/estética premium · tratamento autoclave + verniz · recorte no lanternim · iluminação/ventilador destratificador fixados antes do fechamento</t>
        </is>
      </c>
    </row>
    <row r="122">
      <c r="A122" s="21" t="inlineStr">
        <is>
          <t>IT119</t>
        </is>
      </c>
      <c r="B122" s="22" t="inlineStr">
        <is>
          <t>Geral / Estrutura</t>
        </is>
      </c>
      <c r="C122" s="22" t="inlineStr">
        <is>
          <t>material</t>
        </is>
      </c>
      <c r="D122" s="22" t="n">
        <v>4</v>
      </c>
      <c r="E122" s="21" t="inlineStr">
        <is>
          <t>Divisórias Lightwall 2P 90 mm — pav. superior completo + lavabo e banheiro do térreo</t>
        </is>
      </c>
      <c r="F122" s="21" t="inlineStr">
        <is>
          <t>painéis 2500/3000×610×90 · juntas c/ tela de fibra + basecoat · fixação à laje e à estrutura conforme manual (§8) · uso SVVIE homologado</t>
        </is>
      </c>
      <c r="G122" s="21" t="inlineStr">
        <is>
          <t>m²</t>
        </is>
      </c>
      <c r="H122" s="29" t="n">
        <v>100</v>
      </c>
      <c r="I122" s="21">
        <f>COUNTIFS(Cotações!$E$2:$E$2,$A122)</f>
        <v/>
      </c>
      <c r="J122" s="30">
        <f>IF(I122=0,"—",_xlfn.MINIFS(Cotações!$J$2:$J$2,Cotações!$E$2:$E$2,$A122))</f>
        <v/>
      </c>
      <c r="K122" s="22">
        <f>IF(I122=0,"—",IFERROR(INDEX(Cotações!$H$2:$H$2,MATCH(1,INDEX((Cotações!$E$2:$E$2=$A122)*(Cotações!$J$2:$J$2=J122),0),0)),""))</f>
        <v/>
      </c>
      <c r="L122" s="23">
        <f>IF(I122=0,"—",IFERROR(J122*H122,""))</f>
        <v/>
      </c>
      <c r="M122" s="21" t="inlineStr">
        <is>
          <t>superior: todas as internas · térreo: caixa do lavabo (canto garagem/corredor) e do banheiro do fundo · hidráulica pesada em shaft ou no radier (cava ≤ 50% = 45 mm: NÃO passa esgoto de 100 mm) · juntas dissimilares Monolev↔Lightwall c/ tela 10 cm cada lado</t>
        </is>
      </c>
    </row>
    <row r="123">
      <c r="A123" s="16" t="inlineStr">
        <is>
          <t>IT120</t>
        </is>
      </c>
      <c r="B123" s="17" t="inlineStr">
        <is>
          <t>Geral / Estrutura</t>
        </is>
      </c>
      <c r="C123" s="17" t="inlineStr">
        <is>
          <t>material</t>
        </is>
      </c>
      <c r="D123" s="17" t="n">
        <v>7</v>
      </c>
      <c r="E123" s="16" t="inlineStr">
        <is>
          <t>Portinha metálica de acesso à faixa de luz (jardim frontal → corredor NE)</t>
        </is>
      </c>
      <c r="F123" s="16" t="inlineStr">
        <is>
          <t>vão 1,20 × ~2,10 · recuada 0,80 da fachada · gradil/chapa perfurada c/ fechadura</t>
        </is>
      </c>
      <c r="G123" s="16" t="inlineStr">
        <is>
          <t>un</t>
        </is>
      </c>
      <c r="H123" s="31" t="n">
        <v>1</v>
      </c>
      <c r="I123" s="16">
        <f>COUNTIFS(Cotações!$E$2:$E$2,$A123)</f>
        <v/>
      </c>
      <c r="J123" s="32">
        <f>IF(I123=0,"—",_xlfn.MINIFS(Cotações!$J$2:$J$2,Cotações!$E$2:$E$2,$A123))</f>
        <v/>
      </c>
      <c r="K123" s="17">
        <f>IF(I123=0,"—",IFERROR(INDEX(Cotações!$H$2:$H$2,MATCH(1,INDEX((Cotações!$E$2:$E$2=$A123)*(Cotações!$J$2:$J$2=J123),0),0)),""))</f>
        <v/>
      </c>
      <c r="L123" s="18">
        <f>IF(I123=0,"—",IFERROR(J123*H123,""))</f>
        <v/>
      </c>
      <c r="M123" s="16" t="inlineStr">
        <is>
          <t>ÚNICO acesso à Luz 1 (jardim de inverno) — parede cega separa da Luz 2 · manutenção da parede verde e limpeza</t>
        </is>
      </c>
    </row>
    <row r="124">
      <c r="A124" s="21" t="inlineStr">
        <is>
          <t>IT121</t>
        </is>
      </c>
      <c r="B124" s="22" t="inlineStr">
        <is>
          <t>Geral / Estrutura</t>
        </is>
      </c>
      <c r="C124" s="22" t="inlineStr">
        <is>
          <t>material</t>
        </is>
      </c>
      <c r="D124" s="22" t="n">
        <v>7</v>
      </c>
      <c r="E124" s="21" t="inlineStr">
        <is>
          <t>Janelão da sala p/ jardim de inverno (parede NE) — vidro laminado</t>
        </is>
      </c>
      <c r="F124" s="21" t="inlineStr">
        <is>
          <t>~3,50 m de largura · sobe o pé-direito duplo · caixilho c/ folhas de ventilação</t>
        </is>
      </c>
      <c r="G124" s="21" t="inlineStr">
        <is>
          <t>m²</t>
        </is>
      </c>
      <c r="H124" s="29" t="n">
        <v>12</v>
      </c>
      <c r="I124" s="21">
        <f>COUNTIFS(Cotações!$E$2:$E$2,$A124)</f>
        <v/>
      </c>
      <c r="J124" s="30">
        <f>IF(I124=0,"—",_xlfn.MINIFS(Cotações!$J$2:$J$2,Cotações!$E$2:$E$2,$A124))</f>
        <v/>
      </c>
      <c r="K124" s="22">
        <f>IF(I124=0,"—",IFERROR(INDEX(Cotações!$H$2:$H$2,MATCH(1,INDEX((Cotações!$E$2:$E$2=$A124)*(Cotações!$J$2:$J$2=J124),0),0)),""))</f>
        <v/>
      </c>
      <c r="L124" s="23">
        <f>IF(I124=0,"—",IFERROR(J124*H124,""))</f>
        <v/>
      </c>
      <c r="M124" s="21" t="inlineStr">
        <is>
          <t>face NE = sol da manhã filtrado · exposto à chuva (faixa descoberta): prever pingadeira e caimento</t>
        </is>
      </c>
    </row>
    <row r="125">
      <c r="A125" s="16" t="inlineStr">
        <is>
          <t>IT122</t>
        </is>
      </c>
      <c r="B125" s="17" t="inlineStr">
        <is>
          <t>Geral / Estrutura</t>
        </is>
      </c>
      <c r="C125" s="17" t="inlineStr">
        <is>
          <t>material</t>
        </is>
      </c>
      <c r="D125" s="17" t="n">
        <v>12</v>
      </c>
      <c r="E125" s="16" t="inlineStr">
        <is>
          <t>Parede verde / jardim vertical na divisa NE (Luz 1)</t>
        </is>
      </c>
      <c r="F125" s="16" t="inlineStr">
        <is>
          <t>~1,20 × 4,10 × h ~3 m ≈ 12 m² · painéis modulares ou treliça c/ trepadeiras</t>
        </is>
      </c>
      <c r="G125" s="16" t="inlineStr">
        <is>
          <t>m²</t>
        </is>
      </c>
      <c r="H125" s="31" t="n">
        <v>12</v>
      </c>
      <c r="I125" s="16">
        <f>COUNTIFS(Cotações!$E$2:$E$2,$A125)</f>
        <v/>
      </c>
      <c r="J125" s="32">
        <f>IF(I125=0,"—",_xlfn.MINIFS(Cotações!$J$2:$J$2,Cotações!$E$2:$E$2,$A125))</f>
        <v/>
      </c>
      <c r="K125" s="17">
        <f>IF(I125=0,"—",IFERROR(INDEX(Cotações!$H$2:$H$2,MATCH(1,INDEX((Cotações!$E$2:$E$2=$A125)*(Cotações!$J$2:$J$2=J125),0),0)),""))</f>
        <v/>
      </c>
      <c r="L125" s="18">
        <f>IF(I125=0,"—",IFERROR(J125*H125,""))</f>
        <v/>
      </c>
      <c r="M125" s="16" t="inlineStr">
        <is>
          <t>CRÍTICO: impermeabilizar a divisa antes (umidade permanente) + barreira anti-raiz · irrigação automática c/ ponto de água e dreno próprio · manutenção pela portinha</t>
        </is>
      </c>
    </row>
    <row r="126">
      <c r="A126" s="21" t="inlineStr">
        <is>
          <t>IT123</t>
        </is>
      </c>
      <c r="B126" s="22" t="inlineStr">
        <is>
          <t>Projetos e Serviços Técnicos</t>
        </is>
      </c>
      <c r="C126" s="22" t="inlineStr">
        <is>
          <t>serviço</t>
        </is>
      </c>
      <c r="D126" s="22" t="n">
        <v>1</v>
      </c>
      <c r="E126" s="21" t="inlineStr">
        <is>
          <t>Projeto arquitetônico — legal + executivo + detalhamento</t>
        </is>
      </c>
      <c r="F126" s="21" t="inlineStr">
        <is>
          <t>a partir do estudo preliminar já feito (F-01 a F-09)</t>
        </is>
      </c>
      <c r="G126" s="21" t="inlineStr">
        <is>
          <t>m²</t>
        </is>
      </c>
      <c r="H126" s="29" t="n">
        <v>183</v>
      </c>
      <c r="I126" s="21">
        <f>COUNTIFS(Cotações!$E$2:$E$2,$A126)</f>
        <v/>
      </c>
      <c r="J126" s="30">
        <f>IF(I126=0,"—",_xlfn.MINIFS(Cotações!$J$2:$J$2,Cotações!$E$2:$E$2,$A126))</f>
        <v/>
      </c>
      <c r="K126" s="22">
        <f>IF(I126=0,"—",IFERROR(INDEX(Cotações!$H$2:$H$2,MATCH(1,INDEX((Cotações!$E$2:$E$2=$A126)*(Cotações!$J$2:$J$2=J126),0),0)),""))</f>
        <v/>
      </c>
      <c r="L126" s="23">
        <f>IF(I126=0,"—",IFERROR(J126*H126,""))</f>
        <v/>
      </c>
      <c r="M126" s="21" t="inlineStr">
        <is>
          <t>ref. R$ 65–150/m² · escopo reduzido porque o partido já está definido</t>
        </is>
      </c>
    </row>
    <row r="127">
      <c r="A127" s="16" t="inlineStr">
        <is>
          <t>IT124</t>
        </is>
      </c>
      <c r="B127" s="17" t="inlineStr">
        <is>
          <t>Projetos e Serviços Técnicos</t>
        </is>
      </c>
      <c r="C127" s="17" t="inlineStr">
        <is>
          <t>serviço</t>
        </is>
      </c>
      <c r="D127" s="17" t="n">
        <v>1</v>
      </c>
      <c r="E127" s="16" t="inlineStr">
        <is>
          <t>Projeto estrutural — radier, treliças, vigas metálicas e lajes</t>
        </is>
      </c>
      <c r="F127" s="16" t="inlineStr">
        <is>
          <t>inclui projeto de fabricação da estrutura metálica e verificação de vento (NBR 6123)</t>
        </is>
      </c>
      <c r="G127" s="16" t="inlineStr">
        <is>
          <t>vb</t>
        </is>
      </c>
      <c r="H127" s="31" t="n">
        <v>1</v>
      </c>
      <c r="I127" s="16">
        <f>COUNTIFS(Cotações!$E$2:$E$2,$A127)</f>
        <v/>
      </c>
      <c r="J127" s="32">
        <f>IF(I127=0,"—",_xlfn.MINIFS(Cotações!$J$2:$J$2,Cotações!$E$2:$E$2,$A127))</f>
        <v/>
      </c>
      <c r="K127" s="17">
        <f>IF(I127=0,"—",IFERROR(INDEX(Cotações!$H$2:$H$2,MATCH(1,INDEX((Cotações!$E$2:$E$2=$A127)*(Cotações!$J$2:$J$2=J127),0),0)),""))</f>
        <v/>
      </c>
      <c r="L127" s="18">
        <f>IF(I127=0,"—",IFERROR(J127*H127,""))</f>
        <v/>
      </c>
      <c r="M127" s="16" t="inlineStr">
        <is>
          <t>CRÍTICO: valida o conceito mezanino, o balanço 2,50 e a viga de 7,30</t>
        </is>
      </c>
    </row>
    <row r="128">
      <c r="A128" s="21" t="inlineStr">
        <is>
          <t>IT125</t>
        </is>
      </c>
      <c r="B128" s="22" t="inlineStr">
        <is>
          <t>Projetos e Serviços Técnicos</t>
        </is>
      </c>
      <c r="C128" s="22" t="inlineStr">
        <is>
          <t>serviço</t>
        </is>
      </c>
      <c r="D128" s="22" t="n">
        <v>1</v>
      </c>
      <c r="E128" s="21" t="inlineStr">
        <is>
          <t>Projetos complementares — hidrossanitário + elétrico + automação</t>
        </is>
      </c>
      <c r="F128" s="21" t="inlineStr"/>
      <c r="G128" s="21" t="inlineStr">
        <is>
          <t>vb</t>
        </is>
      </c>
      <c r="H128" s="29" t="n">
        <v>1</v>
      </c>
      <c r="I128" s="21">
        <f>COUNTIFS(Cotações!$E$2:$E$2,$A128)</f>
        <v/>
      </c>
      <c r="J128" s="30">
        <f>IF(I128=0,"—",_xlfn.MINIFS(Cotações!$J$2:$J$2,Cotações!$E$2:$E$2,$A128))</f>
        <v/>
      </c>
      <c r="K128" s="22">
        <f>IF(I128=0,"—",IFERROR(INDEX(Cotações!$H$2:$H$2,MATCH(1,INDEX((Cotações!$E$2:$E$2=$A128)*(Cotações!$J$2:$J$2=J128),0),0)),""))</f>
        <v/>
      </c>
      <c r="L128" s="23">
        <f>IF(I128=0,"—",IFERROR(J128*H128,""))</f>
        <v/>
      </c>
      <c r="M128" s="21" t="inlineStr">
        <is>
          <t>inclui circuito 40 A do Invisacook pelo radier e infra de automação</t>
        </is>
      </c>
    </row>
    <row r="129">
      <c r="A129" s="16" t="inlineStr">
        <is>
          <t>IT126</t>
        </is>
      </c>
      <c r="B129" s="17" t="inlineStr">
        <is>
          <t>Projetos e Serviços Técnicos</t>
        </is>
      </c>
      <c r="C129" s="17" t="inlineStr">
        <is>
          <t>serviço</t>
        </is>
      </c>
      <c r="D129" s="17" t="n">
        <v>1</v>
      </c>
      <c r="E129" s="16" t="inlineStr">
        <is>
          <t>Projeto de climatização / AVAC</t>
        </is>
      </c>
      <c r="F129" s="16" t="inlineStr"/>
      <c r="G129" s="16" t="inlineStr">
        <is>
          <t>vb</t>
        </is>
      </c>
      <c r="H129" s="31" t="n">
        <v>1</v>
      </c>
      <c r="I129" s="16">
        <f>COUNTIFS(Cotações!$E$2:$E$2,$A129)</f>
        <v/>
      </c>
      <c r="J129" s="32">
        <f>IF(I129=0,"—",_xlfn.MINIFS(Cotações!$J$2:$J$2,Cotações!$E$2:$E$2,$A129))</f>
        <v/>
      </c>
      <c r="K129" s="17">
        <f>IF(I129=0,"—",IFERROR(INDEX(Cotações!$H$2:$H$2,MATCH(1,INDEX((Cotações!$E$2:$E$2=$A129)*(Cotações!$J$2:$J$2=J129),0),0)),""))</f>
        <v/>
      </c>
      <c r="L129" s="18">
        <f>IF(I129=0,"—",IFERROR(J129*H129,""))</f>
        <v/>
      </c>
      <c r="M129" s="16" t="inlineStr">
        <is>
          <t>multi-split + destratificação do vão duplo</t>
        </is>
      </c>
    </row>
    <row r="130">
      <c r="A130" s="21" t="inlineStr">
        <is>
          <t>IT127</t>
        </is>
      </c>
      <c r="B130" s="22" t="inlineStr">
        <is>
          <t>Projetos e Serviços Técnicos</t>
        </is>
      </c>
      <c r="C130" s="22" t="inlineStr">
        <is>
          <t>serviço</t>
        </is>
      </c>
      <c r="D130" s="22" t="n">
        <v>1</v>
      </c>
      <c r="E130" s="21" t="inlineStr">
        <is>
          <t>ART / RRT + taxas de registro</t>
        </is>
      </c>
      <c r="F130" s="21" t="inlineStr"/>
      <c r="G130" s="21" t="inlineStr">
        <is>
          <t>vb</t>
        </is>
      </c>
      <c r="H130" s="29" t="n">
        <v>1</v>
      </c>
      <c r="I130" s="21">
        <f>COUNTIFS(Cotações!$E$2:$E$2,$A130)</f>
        <v/>
      </c>
      <c r="J130" s="30">
        <f>IF(I130=0,"—",_xlfn.MINIFS(Cotações!$J$2:$J$2,Cotações!$E$2:$E$2,$A130))</f>
        <v/>
      </c>
      <c r="K130" s="22">
        <f>IF(I130=0,"—",IFERROR(INDEX(Cotações!$H$2:$H$2,MATCH(1,INDEX((Cotações!$E$2:$E$2=$A130)*(Cotações!$J$2:$J$2=J130),0),0)),""))</f>
        <v/>
      </c>
      <c r="L130" s="23">
        <f>IF(I130=0,"—",IFERROR(J130*H130,""))</f>
        <v/>
      </c>
      <c r="M130" s="21" t="inlineStr">
        <is>
          <t>exigido pelo banco no financiamento à construção</t>
        </is>
      </c>
    </row>
    <row r="131">
      <c r="A131" s="16" t="inlineStr">
        <is>
          <t>IT128</t>
        </is>
      </c>
      <c r="B131" s="17" t="inlineStr">
        <is>
          <t>Projetos e Serviços Técnicos</t>
        </is>
      </c>
      <c r="C131" s="17" t="inlineStr">
        <is>
          <t>serviço</t>
        </is>
      </c>
      <c r="D131" s="17" t="n">
        <v>1</v>
      </c>
      <c r="E131" s="16" t="inlineStr">
        <is>
          <t>Aprovação — prefeitura + condomínio</t>
        </is>
      </c>
      <c r="F131" s="16" t="inlineStr"/>
      <c r="G131" s="16" t="inlineStr">
        <is>
          <t>vb</t>
        </is>
      </c>
      <c r="H131" s="31" t="n">
        <v>1</v>
      </c>
      <c r="I131" s="16">
        <f>COUNTIFS(Cotações!$E$2:$E$2,$A131)</f>
        <v/>
      </c>
      <c r="J131" s="32">
        <f>IF(I131=0,"—",_xlfn.MINIFS(Cotações!$J$2:$J$2,Cotações!$E$2:$E$2,$A131))</f>
        <v/>
      </c>
      <c r="K131" s="17">
        <f>IF(I131=0,"—",IFERROR(INDEX(Cotações!$H$2:$H$2,MATCH(1,INDEX((Cotações!$E$2:$E$2=$A131)*(Cotações!$J$2:$J$2=J131),0),0)),""))</f>
        <v/>
      </c>
      <c r="L131" s="18">
        <f>IF(I131=0,"—",IFERROR(J131*H131,""))</f>
        <v/>
      </c>
      <c r="M131" s="16" t="inlineStr">
        <is>
          <t>protocolar cedo: regras de fachada aberta, chaminé e recuos</t>
        </is>
      </c>
    </row>
    <row r="132">
      <c r="A132" s="21" t="inlineStr">
        <is>
          <t>IT129</t>
        </is>
      </c>
      <c r="B132" s="22" t="inlineStr">
        <is>
          <t>Projetos e Serviços Técnicos</t>
        </is>
      </c>
      <c r="C132" s="22" t="inlineStr">
        <is>
          <t>serviço</t>
        </is>
      </c>
      <c r="D132" s="22" t="n">
        <v>1</v>
      </c>
      <c r="E132" s="21" t="inlineStr">
        <is>
          <t>Responsável técnico de execução (RT) — acompanhamento de obra</t>
        </is>
      </c>
      <c r="F132" s="21" t="inlineStr">
        <is>
          <t>obrigatório na administração direta</t>
        </is>
      </c>
      <c r="G132" s="21" t="inlineStr">
        <is>
          <t>mês</t>
        </is>
      </c>
      <c r="H132" s="29" t="n">
        <v>10</v>
      </c>
      <c r="I132" s="21">
        <f>COUNTIFS(Cotações!$E$2:$E$2,$A132)</f>
        <v/>
      </c>
      <c r="J132" s="30">
        <f>IF(I132=0,"—",_xlfn.MINIFS(Cotações!$J$2:$J$2,Cotações!$E$2:$E$2,$A132))</f>
        <v/>
      </c>
      <c r="K132" s="22">
        <f>IF(I132=0,"—",IFERROR(INDEX(Cotações!$H$2:$H$2,MATCH(1,INDEX((Cotações!$E$2:$E$2=$A132)*(Cotações!$J$2:$J$2=J132),0),0)),""))</f>
        <v/>
      </c>
      <c r="L132" s="23">
        <f>IF(I132=0,"—",IFERROR(J132*H132,""))</f>
        <v/>
      </c>
      <c r="M132" s="21" t="inlineStr">
        <is>
          <t>pago mensalmente durante a obra · R$ 800–2.500/mês</t>
        </is>
      </c>
    </row>
    <row r="133">
      <c r="A133" s="16" t="inlineStr">
        <is>
          <t>IT130</t>
        </is>
      </c>
      <c r="B133" s="17" t="inlineStr">
        <is>
          <t>Projetos e Serviços Técnicos</t>
        </is>
      </c>
      <c r="C133" s="17" t="inlineStr">
        <is>
          <t>serviço</t>
        </is>
      </c>
      <c r="D133" s="17" t="n">
        <v>13</v>
      </c>
      <c r="E133" s="16" t="inlineStr">
        <is>
          <t>Habite-se + averbação em cartório</t>
        </is>
      </c>
      <c r="F133" s="16" t="inlineStr"/>
      <c r="G133" s="16" t="inlineStr">
        <is>
          <t>vb</t>
        </is>
      </c>
      <c r="H133" s="31" t="n">
        <v>1</v>
      </c>
      <c r="I133" s="16">
        <f>COUNTIFS(Cotações!$E$2:$E$2,$A133)</f>
        <v/>
      </c>
      <c r="J133" s="32">
        <f>IF(I133=0,"—",_xlfn.MINIFS(Cotações!$J$2:$J$2,Cotações!$E$2:$E$2,$A133))</f>
        <v/>
      </c>
      <c r="K133" s="17">
        <f>IF(I133=0,"—",IFERROR(INDEX(Cotações!$H$2:$H$2,MATCH(1,INDEX((Cotações!$E$2:$E$2=$A133)*(Cotações!$J$2:$J$2=J133),0),0)),""))</f>
        <v/>
      </c>
      <c r="L133" s="18">
        <f>IF(I133=0,"—",IFERROR(J133*H133,""))</f>
        <v/>
      </c>
      <c r="M133" s="16" t="inlineStr">
        <is>
          <t>fecha a obra e regulariza a matrícula</t>
        </is>
      </c>
    </row>
    <row r="134">
      <c r="A134" s="21" t="inlineStr">
        <is>
          <t>IT131</t>
        </is>
      </c>
      <c r="B134" s="22" t="inlineStr">
        <is>
          <t>Mão de obra</t>
        </is>
      </c>
      <c r="C134" s="22" t="inlineStr">
        <is>
          <t>mão de obra</t>
        </is>
      </c>
      <c r="D134" s="22" t="n">
        <v>1</v>
      </c>
      <c r="E134" s="21" t="inlineStr">
        <is>
          <t>Mão de obra — Etapa 01: Projetos, sondagem e aprovações</t>
        </is>
      </c>
      <c r="F134" s="21" t="inlineStr">
        <is>
          <t>gestão/administração da fase de projetos</t>
        </is>
      </c>
      <c r="G134" s="21" t="inlineStr">
        <is>
          <t>vb</t>
        </is>
      </c>
      <c r="H134" s="29" t="n">
        <v>1</v>
      </c>
      <c r="I134" s="21">
        <f>COUNTIFS(Cotações!$E$2:$E$2,$A134)</f>
        <v/>
      </c>
      <c r="J134" s="30">
        <f>IF(I134=0,"—",_xlfn.MINIFS(Cotações!$J$2:$J$2,Cotações!$E$2:$E$2,$A134))</f>
        <v/>
      </c>
      <c r="K134" s="22">
        <f>IF(I134=0,"—",IFERROR(INDEX(Cotações!$H$2:$H$2,MATCH(1,INDEX((Cotações!$E$2:$E$2=$A134)*(Cotações!$J$2:$J$2=J134),0),0)),""))</f>
        <v/>
      </c>
      <c r="L134" s="23">
        <f>IF(I134=0,"—",IFERROR(J134*H134,""))</f>
        <v/>
      </c>
      <c r="M134" s="21" t="inlineStr">
        <is>
          <t>cotar empreiteiro/equipe separadamente do material · preencher o Fornecedor</t>
        </is>
      </c>
    </row>
    <row r="135">
      <c r="A135" s="16" t="inlineStr">
        <is>
          <t>IT132</t>
        </is>
      </c>
      <c r="B135" s="17" t="inlineStr">
        <is>
          <t>Mão de obra</t>
        </is>
      </c>
      <c r="C135" s="17" t="inlineStr">
        <is>
          <t>mão de obra</t>
        </is>
      </c>
      <c r="D135" s="17" t="n">
        <v>2</v>
      </c>
      <c r="E135" s="16" t="inlineStr">
        <is>
          <t>Mão de obra — Etapa 02: Fundação — radier 103 m²</t>
        </is>
      </c>
      <c r="F135" s="16" t="inlineStr">
        <is>
          <t>preparo do terreno, formas, armação e concretagem do radier</t>
        </is>
      </c>
      <c r="G135" s="16" t="inlineStr">
        <is>
          <t>vb</t>
        </is>
      </c>
      <c r="H135" s="31" t="n">
        <v>1</v>
      </c>
      <c r="I135" s="16">
        <f>COUNTIFS(Cotações!$E$2:$E$2,$A135)</f>
        <v/>
      </c>
      <c r="J135" s="32">
        <f>IF(I135=0,"—",_xlfn.MINIFS(Cotações!$J$2:$J$2,Cotações!$E$2:$E$2,$A135))</f>
        <v/>
      </c>
      <c r="K135" s="17">
        <f>IF(I135=0,"—",IFERROR(INDEX(Cotações!$H$2:$H$2,MATCH(1,INDEX((Cotações!$E$2:$E$2=$A135)*(Cotações!$J$2:$J$2=J135),0),0)),""))</f>
        <v/>
      </c>
      <c r="L135" s="18">
        <f>IF(I135=0,"—",IFERROR(J135*H135,""))</f>
        <v/>
      </c>
      <c r="M135" s="16" t="inlineStr">
        <is>
          <t>cotar empreiteiro/equipe separadamente do material · preencher o Fornecedor</t>
        </is>
      </c>
    </row>
    <row r="136">
      <c r="A136" s="21" t="inlineStr">
        <is>
          <t>IT133</t>
        </is>
      </c>
      <c r="B136" s="22" t="inlineStr">
        <is>
          <t>Mão de obra</t>
        </is>
      </c>
      <c r="C136" s="22" t="inlineStr">
        <is>
          <t>mão de obra</t>
        </is>
      </c>
      <c r="D136" s="22" t="n">
        <v>3</v>
      </c>
      <c r="E136" s="21" t="inlineStr">
        <is>
          <t>Mão de obra — Etapa 03: Estrutura metálica</t>
        </is>
      </c>
      <c r="F136" s="21" t="inlineStr">
        <is>
          <t>montagem da estrutura metálica (vigas, escada, guarda-corpos)</t>
        </is>
      </c>
      <c r="G136" s="21" t="inlineStr">
        <is>
          <t>vb</t>
        </is>
      </c>
      <c r="H136" s="29" t="n">
        <v>1</v>
      </c>
      <c r="I136" s="21">
        <f>COUNTIFS(Cotações!$E$2:$E$2,$A136)</f>
        <v/>
      </c>
      <c r="J136" s="30">
        <f>IF(I136=0,"—",_xlfn.MINIFS(Cotações!$J$2:$J$2,Cotações!$E$2:$E$2,$A136))</f>
        <v/>
      </c>
      <c r="K136" s="22">
        <f>IF(I136=0,"—",IFERROR(INDEX(Cotações!$H$2:$H$2,MATCH(1,INDEX((Cotações!$E$2:$E$2=$A136)*(Cotações!$J$2:$J$2=J136),0),0)),""))</f>
        <v/>
      </c>
      <c r="L136" s="23">
        <f>IF(I136=0,"—",IFERROR(J136*H136,""))</f>
        <v/>
      </c>
      <c r="M136" s="21" t="inlineStr">
        <is>
          <t>cotar empreiteiro/equipe separadamente do material · preencher o Fornecedor</t>
        </is>
      </c>
    </row>
    <row r="137">
      <c r="A137" s="16" t="inlineStr">
        <is>
          <t>IT134</t>
        </is>
      </c>
      <c r="B137" s="17" t="inlineStr">
        <is>
          <t>Mão de obra</t>
        </is>
      </c>
      <c r="C137" s="17" t="inlineStr">
        <is>
          <t>mão de obra</t>
        </is>
      </c>
      <c r="D137" s="17" t="n">
        <v>4</v>
      </c>
      <c r="E137" s="16" t="inlineStr">
        <is>
          <t>Mão de obra — Etapa 04: Paredes: Monolev (estrutural) + divisórias Lightwall</t>
        </is>
      </c>
      <c r="F137" s="16" t="inlineStr">
        <is>
          <t>montagem Monolev + projeção de argamassa (2 faces) + montagem Lightwall</t>
        </is>
      </c>
      <c r="G137" s="16" t="inlineStr">
        <is>
          <t>vb</t>
        </is>
      </c>
      <c r="H137" s="31" t="n">
        <v>1</v>
      </c>
      <c r="I137" s="16">
        <f>COUNTIFS(Cotações!$E$2:$E$2,$A137)</f>
        <v/>
      </c>
      <c r="J137" s="32">
        <f>IF(I137=0,"—",_xlfn.MINIFS(Cotações!$J$2:$J$2,Cotações!$E$2:$E$2,$A137))</f>
        <v/>
      </c>
      <c r="K137" s="17">
        <f>IF(I137=0,"—",IFERROR(INDEX(Cotações!$H$2:$H$2,MATCH(1,INDEX((Cotações!$E$2:$E$2=$A137)*(Cotações!$J$2:$J$2=J137),0),0)),""))</f>
        <v/>
      </c>
      <c r="L137" s="18">
        <f>IF(I137=0,"—",IFERROR(J137*H137,""))</f>
        <v/>
      </c>
      <c r="M137" s="16" t="inlineStr">
        <is>
          <t>cotar empreiteiro/equipe separadamente do material · preencher o Fornecedor</t>
        </is>
      </c>
    </row>
    <row r="138">
      <c r="A138" s="21" t="inlineStr">
        <is>
          <t>IT135</t>
        </is>
      </c>
      <c r="B138" s="22" t="inlineStr">
        <is>
          <t>Mão de obra</t>
        </is>
      </c>
      <c r="C138" s="22" t="inlineStr">
        <is>
          <t>mão de obra</t>
        </is>
      </c>
      <c r="D138" s="22" t="n">
        <v>5</v>
      </c>
      <c r="E138" s="21" t="inlineStr">
        <is>
          <t>Mão de obra — Etapa 05: Lajes de PISO (superior + sacada + técnica)</t>
        </is>
      </c>
      <c r="F138" s="21" t="inlineStr">
        <is>
          <t>montagem de vigotas/EPS, armação e concretagem das capas</t>
        </is>
      </c>
      <c r="G138" s="21" t="inlineStr">
        <is>
          <t>vb</t>
        </is>
      </c>
      <c r="H138" s="29" t="n">
        <v>1</v>
      </c>
      <c r="I138" s="21">
        <f>COUNTIFS(Cotações!$E$2:$E$2,$A138)</f>
        <v/>
      </c>
      <c r="J138" s="30">
        <f>IF(I138=0,"—",_xlfn.MINIFS(Cotações!$J$2:$J$2,Cotações!$E$2:$E$2,$A138))</f>
        <v/>
      </c>
      <c r="K138" s="22">
        <f>IF(I138=0,"—",IFERROR(INDEX(Cotações!$H$2:$H$2,MATCH(1,INDEX((Cotações!$E$2:$E$2=$A138)*(Cotações!$J$2:$J$2=J138),0),0)),""))</f>
        <v/>
      </c>
      <c r="L138" s="23">
        <f>IF(I138=0,"—",IFERROR(J138*H138,""))</f>
        <v/>
      </c>
      <c r="M138" s="21" t="inlineStr">
        <is>
          <t>cotar empreiteiro/equipe separadamente do material · preencher o Fornecedor</t>
        </is>
      </c>
    </row>
    <row r="139">
      <c r="A139" s="16" t="inlineStr">
        <is>
          <t>IT136</t>
        </is>
      </c>
      <c r="B139" s="17" t="inlineStr">
        <is>
          <t>Mão de obra</t>
        </is>
      </c>
      <c r="C139" s="17" t="inlineStr">
        <is>
          <t>mão de obra</t>
        </is>
      </c>
      <c r="D139" s="17" t="n">
        <v>6</v>
      </c>
      <c r="E139" s="16" t="inlineStr">
        <is>
          <t>Mão de obra — Etapa 06: Cobertura + lanternim</t>
        </is>
      </c>
      <c r="F139" s="16" t="inlineStr">
        <is>
          <t>içamento e montagem das treliças, terças, telhas, lanternim, rufos e calhas</t>
        </is>
      </c>
      <c r="G139" s="16" t="inlineStr">
        <is>
          <t>vb</t>
        </is>
      </c>
      <c r="H139" s="31" t="n">
        <v>1</v>
      </c>
      <c r="I139" s="16">
        <f>COUNTIFS(Cotações!$E$2:$E$2,$A139)</f>
        <v/>
      </c>
      <c r="J139" s="32">
        <f>IF(I139=0,"—",_xlfn.MINIFS(Cotações!$J$2:$J$2,Cotações!$E$2:$E$2,$A139))</f>
        <v/>
      </c>
      <c r="K139" s="17">
        <f>IF(I139=0,"—",IFERROR(INDEX(Cotações!$H$2:$H$2,MATCH(1,INDEX((Cotações!$E$2:$E$2=$A139)*(Cotações!$J$2:$J$2=J139),0),0)),""))</f>
        <v/>
      </c>
      <c r="L139" s="18">
        <f>IF(I139=0,"—",IFERROR(J139*H139,""))</f>
        <v/>
      </c>
      <c r="M139" s="16" t="inlineStr">
        <is>
          <t>cotar empreiteiro/equipe separadamente do material · preencher o Fornecedor</t>
        </is>
      </c>
    </row>
    <row r="140">
      <c r="A140" s="21" t="inlineStr">
        <is>
          <t>IT137</t>
        </is>
      </c>
      <c r="B140" s="22" t="inlineStr">
        <is>
          <t>Mão de obra</t>
        </is>
      </c>
      <c r="C140" s="22" t="inlineStr">
        <is>
          <t>mão de obra</t>
        </is>
      </c>
      <c r="D140" s="22" t="n">
        <v>7</v>
      </c>
      <c r="E140" s="21" t="inlineStr">
        <is>
          <t>Mão de obra — Etapa 07: Esquadrias e vidros</t>
        </is>
      </c>
      <c r="F140" s="21" t="inlineStr">
        <is>
          <t>instalação de esquadrias, vidros e envidraçamentos</t>
        </is>
      </c>
      <c r="G140" s="21" t="inlineStr">
        <is>
          <t>vb</t>
        </is>
      </c>
      <c r="H140" s="29" t="n">
        <v>1</v>
      </c>
      <c r="I140" s="21">
        <f>COUNTIFS(Cotações!$E$2:$E$2,$A140)</f>
        <v/>
      </c>
      <c r="J140" s="30">
        <f>IF(I140=0,"—",_xlfn.MINIFS(Cotações!$J$2:$J$2,Cotações!$E$2:$E$2,$A140))</f>
        <v/>
      </c>
      <c r="K140" s="22">
        <f>IF(I140=0,"—",IFERROR(INDEX(Cotações!$H$2:$H$2,MATCH(1,INDEX((Cotações!$E$2:$E$2=$A140)*(Cotações!$J$2:$J$2=J140),0),0)),""))</f>
        <v/>
      </c>
      <c r="L140" s="23">
        <f>IF(I140=0,"—",IFERROR(J140*H140,""))</f>
        <v/>
      </c>
      <c r="M140" s="21" t="inlineStr">
        <is>
          <t>cotar empreiteiro/equipe separadamente do material · preencher o Fornecedor</t>
        </is>
      </c>
    </row>
    <row r="141">
      <c r="A141" s="16" t="inlineStr">
        <is>
          <t>IT138</t>
        </is>
      </c>
      <c r="B141" s="17" t="inlineStr">
        <is>
          <t>Mão de obra</t>
        </is>
      </c>
      <c r="C141" s="17" t="inlineStr">
        <is>
          <t>mão de obra</t>
        </is>
      </c>
      <c r="D141" s="17" t="n">
        <v>8</v>
      </c>
      <c r="E141" s="16" t="inlineStr">
        <is>
          <t>Mão de obra — Etapa 08: Hidráulica + água quente + prep. PV</t>
        </is>
      </c>
      <c r="F141" s="16" t="inlineStr">
        <is>
          <t>instalação hidráulica completa + água quente + preparação PV</t>
        </is>
      </c>
      <c r="G141" s="16" t="inlineStr">
        <is>
          <t>vb</t>
        </is>
      </c>
      <c r="H141" s="31" t="n">
        <v>1</v>
      </c>
      <c r="I141" s="16">
        <f>COUNTIFS(Cotações!$E$2:$E$2,$A141)</f>
        <v/>
      </c>
      <c r="J141" s="32">
        <f>IF(I141=0,"—",_xlfn.MINIFS(Cotações!$J$2:$J$2,Cotações!$E$2:$E$2,$A141))</f>
        <v/>
      </c>
      <c r="K141" s="17">
        <f>IF(I141=0,"—",IFERROR(INDEX(Cotações!$H$2:$H$2,MATCH(1,INDEX((Cotações!$E$2:$E$2=$A141)*(Cotações!$J$2:$J$2=J141),0),0)),""))</f>
        <v/>
      </c>
      <c r="L141" s="18">
        <f>IF(I141=0,"—",IFERROR(J141*H141,""))</f>
        <v/>
      </c>
      <c r="M141" s="16" t="inlineStr">
        <is>
          <t>cotar empreiteiro/equipe separadamente do material · preencher o Fornecedor</t>
        </is>
      </c>
    </row>
    <row r="142">
      <c r="A142" s="21" t="inlineStr">
        <is>
          <t>IT139</t>
        </is>
      </c>
      <c r="B142" s="22" t="inlineStr">
        <is>
          <t>Mão de obra</t>
        </is>
      </c>
      <c r="C142" s="22" t="inlineStr">
        <is>
          <t>mão de obra</t>
        </is>
      </c>
      <c r="D142" s="22" t="n">
        <v>9</v>
      </c>
      <c r="E142" s="21" t="inlineStr">
        <is>
          <t>Mão de obra — Etapa 09: Elétrica + automação + rede</t>
        </is>
      </c>
      <c r="F142" s="21" t="inlineStr">
        <is>
          <t>instalação elétrica, cabeamento, quadros e comissionamento da automação</t>
        </is>
      </c>
      <c r="G142" s="21" t="inlineStr">
        <is>
          <t>vb</t>
        </is>
      </c>
      <c r="H142" s="29" t="n">
        <v>1</v>
      </c>
      <c r="I142" s="21">
        <f>COUNTIFS(Cotações!$E$2:$E$2,$A142)</f>
        <v/>
      </c>
      <c r="J142" s="30">
        <f>IF(I142=0,"—",_xlfn.MINIFS(Cotações!$J$2:$J$2,Cotações!$E$2:$E$2,$A142))</f>
        <v/>
      </c>
      <c r="K142" s="22">
        <f>IF(I142=0,"—",IFERROR(INDEX(Cotações!$H$2:$H$2,MATCH(1,INDEX((Cotações!$E$2:$E$2=$A142)*(Cotações!$J$2:$J$2=J142),0),0)),""))</f>
        <v/>
      </c>
      <c r="L142" s="23">
        <f>IF(I142=0,"—",IFERROR(J142*H142,""))</f>
        <v/>
      </c>
      <c r="M142" s="21" t="inlineStr">
        <is>
          <t>cotar empreiteiro/equipe separadamente do material · preencher o Fornecedor</t>
        </is>
      </c>
    </row>
    <row r="143">
      <c r="A143" s="16" t="inlineStr">
        <is>
          <t>IT140</t>
        </is>
      </c>
      <c r="B143" s="17" t="inlineStr">
        <is>
          <t>Mão de obra</t>
        </is>
      </c>
      <c r="C143" s="17" t="inlineStr">
        <is>
          <t>mão de obra</t>
        </is>
      </c>
      <c r="D143" s="17" t="n">
        <v>10</v>
      </c>
      <c r="E143" s="16" t="inlineStr">
        <is>
          <t>Mão de obra — Etapa 10: Climatização</t>
        </is>
      </c>
      <c r="F143" s="16" t="inlineStr">
        <is>
          <t>instalação frigorígena, vácuo, carga e start-up</t>
        </is>
      </c>
      <c r="G143" s="16" t="inlineStr">
        <is>
          <t>vb</t>
        </is>
      </c>
      <c r="H143" s="31" t="n">
        <v>1</v>
      </c>
      <c r="I143" s="16">
        <f>COUNTIFS(Cotações!$E$2:$E$2,$A143)</f>
        <v/>
      </c>
      <c r="J143" s="32">
        <f>IF(I143=0,"—",_xlfn.MINIFS(Cotações!$J$2:$J$2,Cotações!$E$2:$E$2,$A143))</f>
        <v/>
      </c>
      <c r="K143" s="17">
        <f>IF(I143=0,"—",IFERROR(INDEX(Cotações!$H$2:$H$2,MATCH(1,INDEX((Cotações!$E$2:$E$2=$A143)*(Cotações!$J$2:$J$2=J143),0),0)),""))</f>
        <v/>
      </c>
      <c r="L143" s="18">
        <f>IF(I143=0,"—",IFERROR(J143*H143,""))</f>
        <v/>
      </c>
      <c r="M143" s="16" t="inlineStr">
        <is>
          <t>cotar empreiteiro/equipe separadamente do material · preencher o Fornecedor</t>
        </is>
      </c>
    </row>
    <row r="144">
      <c r="A144" s="21" t="inlineStr">
        <is>
          <t>IT141</t>
        </is>
      </c>
      <c r="B144" s="22" t="inlineStr">
        <is>
          <t>Mão de obra</t>
        </is>
      </c>
      <c r="C144" s="22" t="inlineStr">
        <is>
          <t>mão de obra</t>
        </is>
      </c>
      <c r="D144" s="22" t="n">
        <v>11</v>
      </c>
      <c r="E144" s="21" t="inlineStr">
        <is>
          <t>Mão de obra — Etapa 11: Acabamentos resinados (sem porcelanato)</t>
        </is>
      </c>
      <c r="F144" s="21" t="inlineStr">
        <is>
          <t>impermeabilizações, resinados, carpete de pedra, microcimento e forros</t>
        </is>
      </c>
      <c r="G144" s="21" t="inlineStr">
        <is>
          <t>vb</t>
        </is>
      </c>
      <c r="H144" s="29" t="n">
        <v>1</v>
      </c>
      <c r="I144" s="21">
        <f>COUNTIFS(Cotações!$E$2:$E$2,$A144)</f>
        <v/>
      </c>
      <c r="J144" s="30">
        <f>IF(I144=0,"—",_xlfn.MINIFS(Cotações!$J$2:$J$2,Cotações!$E$2:$E$2,$A144))</f>
        <v/>
      </c>
      <c r="K144" s="22">
        <f>IF(I144=0,"—",IFERROR(INDEX(Cotações!$H$2:$H$2,MATCH(1,INDEX((Cotações!$E$2:$E$2=$A144)*(Cotações!$J$2:$J$2=J144),0),0)),""))</f>
        <v/>
      </c>
      <c r="L144" s="23">
        <f>IF(I144=0,"—",IFERROR(J144*H144,""))</f>
        <v/>
      </c>
      <c r="M144" s="21" t="inlineStr">
        <is>
          <t>cotar empreiteiro/equipe separadamente do material · preencher o Fornecedor</t>
        </is>
      </c>
    </row>
    <row r="145">
      <c r="A145" s="16" t="inlineStr">
        <is>
          <t>IT142</t>
        </is>
      </c>
      <c r="B145" s="17" t="inlineStr">
        <is>
          <t>Mão de obra</t>
        </is>
      </c>
      <c r="C145" s="17" t="inlineStr">
        <is>
          <t>mão de obra</t>
        </is>
      </c>
      <c r="D145" s="17" t="n">
        <v>12</v>
      </c>
      <c r="E145" s="16" t="inlineStr">
        <is>
          <t>Mão de obra — Etapa 12: Gourmet (Invisacook, bancada, churrasqueira)</t>
        </is>
      </c>
      <c r="F145" s="16" t="inlineStr">
        <is>
          <t>churrasqueira, bancadas, Invisacook, parede verde e arremates do gourmet</t>
        </is>
      </c>
      <c r="G145" s="16" t="inlineStr">
        <is>
          <t>vb</t>
        </is>
      </c>
      <c r="H145" s="31" t="n">
        <v>1</v>
      </c>
      <c r="I145" s="16">
        <f>COUNTIFS(Cotações!$E$2:$E$2,$A145)</f>
        <v/>
      </c>
      <c r="J145" s="32">
        <f>IF(I145=0,"—",_xlfn.MINIFS(Cotações!$J$2:$J$2,Cotações!$E$2:$E$2,$A145))</f>
        <v/>
      </c>
      <c r="K145" s="17">
        <f>IF(I145=0,"—",IFERROR(INDEX(Cotações!$H$2:$H$2,MATCH(1,INDEX((Cotações!$E$2:$E$2=$A145)*(Cotações!$J$2:$J$2=J145),0),0)),""))</f>
        <v/>
      </c>
      <c r="L145" s="18">
        <f>IF(I145=0,"—",IFERROR(J145*H145,""))</f>
        <v/>
      </c>
      <c r="M145" s="16" t="inlineStr">
        <is>
          <t>cotar empreiteiro/equipe separadamente do material · preencher o Fornecedor</t>
        </is>
      </c>
    </row>
    <row r="146">
      <c r="A146" s="21" t="inlineStr">
        <is>
          <t>IT143</t>
        </is>
      </c>
      <c r="B146" s="22" t="inlineStr">
        <is>
          <t>Mão de obra</t>
        </is>
      </c>
      <c r="C146" s="22" t="inlineStr">
        <is>
          <t>mão de obra</t>
        </is>
      </c>
      <c r="D146" s="22" t="n">
        <v>13</v>
      </c>
      <c r="E146" s="21" t="inlineStr">
        <is>
          <t>Mão de obra — Etapa 13: Canteiro, limpeza e imprevistos (~8%)</t>
        </is>
      </c>
      <c r="F146" s="21" t="inlineStr">
        <is>
          <t>canteiro, limpeza fina e arremates gerais</t>
        </is>
      </c>
      <c r="G146" s="21" t="inlineStr">
        <is>
          <t>vb</t>
        </is>
      </c>
      <c r="H146" s="29" t="n">
        <v>1</v>
      </c>
      <c r="I146" s="21">
        <f>COUNTIFS(Cotações!$E$2:$E$2,$A146)</f>
        <v/>
      </c>
      <c r="J146" s="30">
        <f>IF(I146=0,"—",_xlfn.MINIFS(Cotações!$J$2:$J$2,Cotações!$E$2:$E$2,$A146))</f>
        <v/>
      </c>
      <c r="K146" s="22">
        <f>IF(I146=0,"—",IFERROR(INDEX(Cotações!$H$2:$H$2,MATCH(1,INDEX((Cotações!$E$2:$E$2=$A146)*(Cotações!$J$2:$J$2=J146),0),0)),""))</f>
        <v/>
      </c>
      <c r="L146" s="23">
        <f>IF(I146=0,"—",IFERROR(J146*H146,""))</f>
        <v/>
      </c>
      <c r="M146" s="21" t="inlineStr">
        <is>
          <t>cotar empreiteiro/equipe separadamente do material · preencher o Fornecedor</t>
        </is>
      </c>
    </row>
    <row r="147">
      <c r="A147" s="16" t="inlineStr">
        <is>
          <t>IT144</t>
        </is>
      </c>
      <c r="B147" s="17" t="inlineStr">
        <is>
          <t>Hidráulica</t>
        </is>
      </c>
      <c r="C147" s="17" t="inlineStr">
        <is>
          <t>material</t>
        </is>
      </c>
      <c r="D147" s="17" t="n">
        <v>8</v>
      </c>
      <c r="E147" s="16" t="inlineStr">
        <is>
          <t>Lavabo do térreo — vaso + cuba + torneira + sifão</t>
        </is>
      </c>
      <c r="F147" s="16" t="inlineStr">
        <is>
          <t>lavabo 1,50 × 1,50 no canto da garagem c/ o corredor lateral · janela p/ o corredor</t>
        </is>
      </c>
      <c r="G147" s="16" t="inlineStr">
        <is>
          <t>cj</t>
        </is>
      </c>
      <c r="H147" s="31" t="n">
        <v>1</v>
      </c>
      <c r="I147" s="16">
        <f>COUNTIFS(Cotações!$E$2:$E$2,$A147)</f>
        <v/>
      </c>
      <c r="J147" s="32">
        <f>IF(I147=0,"—",_xlfn.MINIFS(Cotações!$J$2:$J$2,Cotações!$E$2:$E$2,$A147))</f>
        <v/>
      </c>
      <c r="K147" s="17">
        <f>IF(I147=0,"—",IFERROR(INDEX(Cotações!$H$2:$H$2,MATCH(1,INDEX((Cotações!$E$2:$E$2=$A147)*(Cotações!$J$2:$J$2=J147),0),0)),""))</f>
        <v/>
      </c>
      <c r="L147" s="18">
        <f>IF(I147=0,"—",IFERROR(J147*H147,""))</f>
        <v/>
      </c>
      <c r="M147" s="16" t="inlineStr">
        <is>
          <t>CRÍTICO: esgoto de 100 mm do vaso NÃO cabe em painel Lightwall de 90 mm — sai pelo RADIER, posição congelada antes da concretagem (etapa 2)</t>
        </is>
      </c>
    </row>
    <row r="148">
      <c r="A148" s="21" t="inlineStr">
        <is>
          <t>IT145</t>
        </is>
      </c>
      <c r="B148" s="22" t="inlineStr">
        <is>
          <t>Hidráulica</t>
        </is>
      </c>
      <c r="C148" s="22" t="inlineStr">
        <is>
          <t>material</t>
        </is>
      </c>
      <c r="D148" s="22" t="n">
        <v>8</v>
      </c>
      <c r="E148" s="21" t="inlineStr">
        <is>
          <t>Ramal hidráulico do lavabo do térreo (água fria + esgoto + ventilação)</t>
        </is>
      </c>
      <c r="F148" s="21" t="inlineStr"/>
      <c r="G148" s="21" t="inlineStr">
        <is>
          <t>vb</t>
        </is>
      </c>
      <c r="H148" s="29" t="n">
        <v>1</v>
      </c>
      <c r="I148" s="21">
        <f>COUNTIFS(Cotações!$E$2:$E$2,$A148)</f>
        <v/>
      </c>
      <c r="J148" s="30">
        <f>IF(I148=0,"—",_xlfn.MINIFS(Cotações!$J$2:$J$2,Cotações!$E$2:$E$2,$A148))</f>
        <v/>
      </c>
      <c r="K148" s="22">
        <f>IF(I148=0,"—",IFERROR(INDEX(Cotações!$H$2:$H$2,MATCH(1,INDEX((Cotações!$E$2:$E$2=$A148)*(Cotações!$J$2:$J$2=J148),0),0)),""))</f>
        <v/>
      </c>
      <c r="L148" s="23">
        <f>IF(I148=0,"—",IFERROR(J148*H148,""))</f>
        <v/>
      </c>
      <c r="M148" s="21" t="inlineStr">
        <is>
          <t>ramal embutido no radier · prumada de ventilação pela parede Monolev do corredor</t>
        </is>
      </c>
    </row>
    <row r="149">
      <c r="A149" s="16" t="inlineStr">
        <is>
          <t>IT146</t>
        </is>
      </c>
      <c r="B149" s="17" t="inlineStr">
        <is>
          <t>Geral / Estrutura</t>
        </is>
      </c>
      <c r="C149" s="17" t="inlineStr">
        <is>
          <t>material</t>
        </is>
      </c>
      <c r="D149" s="17" t="n">
        <v>11</v>
      </c>
      <c r="E149" s="16" t="inlineStr">
        <is>
          <t>Acabamento do lavabo do térreo — microcimento + piso resinado</t>
        </is>
      </c>
      <c r="F149" s="16" t="inlineStr">
        <is>
          <t>paredes + piso · lavabo seco, sem carpete de pedra</t>
        </is>
      </c>
      <c r="G149" s="16" t="inlineStr">
        <is>
          <t>m²</t>
        </is>
      </c>
      <c r="H149" s="31" t="n">
        <v>9</v>
      </c>
      <c r="I149" s="16">
        <f>COUNTIFS(Cotações!$E$2:$E$2,$A149)</f>
        <v/>
      </c>
      <c r="J149" s="32">
        <f>IF(I149=0,"—",_xlfn.MINIFS(Cotações!$J$2:$J$2,Cotações!$E$2:$E$2,$A149))</f>
        <v/>
      </c>
      <c r="K149" s="17">
        <f>IF(I149=0,"—",IFERROR(INDEX(Cotações!$H$2:$H$2,MATCH(1,INDEX((Cotações!$E$2:$E$2=$A149)*(Cotações!$J$2:$J$2=J149),0),0)),""))</f>
        <v/>
      </c>
      <c r="L149" s="18">
        <f>IF(I149=0,"—",IFERROR(J149*H149,""))</f>
        <v/>
      </c>
      <c r="M149" s="16" t="inlineStr">
        <is>
          <t>base cimentícia do Lightwall recebe microcimento direto · DIY viável</t>
        </is>
      </c>
    </row>
    <row r="150">
      <c r="A150" s="21" t="inlineStr">
        <is>
          <t>IT147</t>
        </is>
      </c>
      <c r="B150" s="22" t="inlineStr">
        <is>
          <t>Geral / Estrutura</t>
        </is>
      </c>
      <c r="C150" s="22" t="inlineStr">
        <is>
          <t>material</t>
        </is>
      </c>
      <c r="D150" s="22" t="n">
        <v>12</v>
      </c>
      <c r="E150" s="21" t="inlineStr">
        <is>
          <t>Cobogó — parede flutuante em frente ao janelão (fachada NO)</t>
        </is>
      </c>
      <c r="F150" s="21" t="inlineStr">
        <is>
          <t>h=3,00 (mesma altura do muro de divisa) m · afastada 1,00 m do janelão · do fim do vão da garagem até ~1 m além da janela · cerâmico ou concreto</t>
        </is>
      </c>
      <c r="G150" s="21" t="inlineStr">
        <is>
          <t>m²</t>
        </is>
      </c>
      <c r="H150" s="29" t="n">
        <v>15.3</v>
      </c>
      <c r="I150" s="21">
        <f>COUNTIFS(Cotações!$E$2:$E$2,$A150)</f>
        <v/>
      </c>
      <c r="J150" s="30">
        <f>IF(I150=0,"—",_xlfn.MINIFS(Cotações!$J$2:$J$2,Cotações!$E$2:$E$2,$A150))</f>
        <v/>
      </c>
      <c r="K150" s="22">
        <f>IF(I150=0,"—",IFERROR(INDEX(Cotações!$H$2:$H$2,MATCH(1,INDEX((Cotações!$E$2:$E$2=$A150)*(Cotações!$J$2:$J$2=J150),0),0)),""))</f>
        <v/>
      </c>
      <c r="L150" s="23">
        <f>IF(I150=0,"—",IFERROR(J150*H150,""))</f>
        <v/>
      </c>
      <c r="M150" s="21" t="inlineStr">
        <is>
          <t>sapata corrida própria + pilaretes a cada 2,5-3 m + cinta de coroamento no topo (resiste a vento, não é só empilhado) · cria câmara de ar ventilada contra o janelão (efeito chaminé) em vez de metal colado no vidro</t>
        </is>
      </c>
    </row>
    <row r="151">
      <c r="A151" s="16" t="inlineStr">
        <is>
          <t>IT148</t>
        </is>
      </c>
      <c r="B151" s="17" t="inlineStr">
        <is>
          <t>Mão de obra</t>
        </is>
      </c>
      <c r="C151" s="17" t="inlineStr">
        <is>
          <t>mão de obra</t>
        </is>
      </c>
      <c r="D151" s="17" t="n">
        <v>12</v>
      </c>
      <c r="E151" s="16" t="inlineStr">
        <is>
          <t>Mão de obra — fundação e elevação do cobogó (parede flutuante)</t>
        </is>
      </c>
      <c r="F151" s="16" t="inlineStr">
        <is>
          <t>sapata + pilaretes + assentamento do cobogó + cinta de coroamento</t>
        </is>
      </c>
      <c r="G151" s="16" t="inlineStr">
        <is>
          <t>vb</t>
        </is>
      </c>
      <c r="H151" s="31" t="n">
        <v>1</v>
      </c>
      <c r="I151" s="16">
        <f>COUNTIFS(Cotações!$E$2:$E$2,$A151)</f>
        <v/>
      </c>
      <c r="J151" s="32">
        <f>IF(I151=0,"—",_xlfn.MINIFS(Cotações!$J$2:$J$2,Cotações!$E$2:$E$2,$A151))</f>
        <v/>
      </c>
      <c r="K151" s="17">
        <f>IF(I151=0,"—",IFERROR(INDEX(Cotações!$H$2:$H$2,MATCH(1,INDEX((Cotações!$E$2:$E$2=$A151)*(Cotações!$J$2:$J$2=J151),0),0)),""))</f>
        <v/>
      </c>
      <c r="L151" s="18">
        <f>IF(I151=0,"—",IFERROR(J151*H151,""))</f>
        <v/>
      </c>
      <c r="M151" s="16" t="inlineStr"/>
    </row>
    <row r="152">
      <c r="A152" s="21" t="inlineStr">
        <is>
          <t>IT149</t>
        </is>
      </c>
      <c r="B152" s="22" t="inlineStr">
        <is>
          <t>Geral / Estrutura</t>
        </is>
      </c>
      <c r="C152" s="22" t="inlineStr">
        <is>
          <t>material</t>
        </is>
      </c>
      <c r="D152" s="22" t="n">
        <v>2</v>
      </c>
      <c r="E152" s="21" t="inlineStr">
        <is>
          <t>Muro de divisa pré-moldado (placa de concreto) — 2 laterais + fundo</t>
        </is>
      </c>
      <c r="F152" s="21" t="inlineStr">
        <is>
          <t>mourões "H" de concreto a cada 1,60-1,67 m + placas de concreto armado (3-3,5 cm) encaixadas, empilhadas até h=3,00 · pingadeira + chapéu de acabamento no topo</t>
        </is>
      </c>
      <c r="G152" s="21" t="inlineStr">
        <is>
          <t>m²</t>
        </is>
      </c>
      <c r="H152" s="29" t="n">
        <v>210</v>
      </c>
      <c r="I152" s="21">
        <f>COUNTIFS(Cotações!$E$2:$E$2,$A152)</f>
        <v/>
      </c>
      <c r="J152" s="30">
        <f>IF(I152=0,"—",_xlfn.MINIFS(Cotações!$J$2:$J$2,Cotações!$E$2:$E$2,$A152))</f>
        <v/>
      </c>
      <c r="K152" s="22">
        <f>IF(I152=0,"—",IFERROR(INDEX(Cotações!$H$2:$H$2,MATCH(1,INDEX((Cotações!$E$2:$E$2=$A152)*(Cotações!$J$2:$J$2=J152),0),0)),""))</f>
        <v/>
      </c>
      <c r="L152" s="23">
        <f>IF(I152=0,"—",IFERROR(J152*H152,""))</f>
        <v/>
      </c>
      <c r="M152" s="21" t="inlineStr">
        <is>
          <t>sistema MAIS ECONÔMICO do mercado (~30% mais barato que alvenaria+reboco+pintura) · 210 m² = 2×30,00 (viela SO + divisa NE) + 10,00 (fundo SE), h=3,00 · verificar carga de vento em muro isolado de 3,00 m (mourão/fundação dimensionados p/ altura, não é só empilhar) · trecho da divisa NE atrás do jardim de inverno recebe a parede verde como acabamento — não duplica estrutura</t>
        </is>
      </c>
    </row>
    <row r="153">
      <c r="A153" s="16" t="inlineStr">
        <is>
          <t>IT150</t>
        </is>
      </c>
      <c r="B153" s="17" t="inlineStr">
        <is>
          <t>Mão de obra</t>
        </is>
      </c>
      <c r="C153" s="17" t="inlineStr">
        <is>
          <t>mão de obra</t>
        </is>
      </c>
      <c r="D153" s="17" t="n">
        <v>2</v>
      </c>
      <c r="E153" s="16" t="inlineStr">
        <is>
          <t>Mão de obra — fundação + montagem do muro de divisa</t>
        </is>
      </c>
      <c r="F153" s="16" t="inlineStr">
        <is>
          <t>fundação direta dos mourões + encaixe das placas + rejunte completo</t>
        </is>
      </c>
      <c r="G153" s="16" t="inlineStr">
        <is>
          <t>vb</t>
        </is>
      </c>
      <c r="H153" s="31" t="n">
        <v>1</v>
      </c>
      <c r="I153" s="16">
        <f>COUNTIFS(Cotações!$E$2:$E$2,$A153)</f>
        <v/>
      </c>
      <c r="J153" s="32">
        <f>IF(I153=0,"—",_xlfn.MINIFS(Cotações!$J$2:$J$2,Cotações!$E$2:$E$2,$A153))</f>
        <v/>
      </c>
      <c r="K153" s="17">
        <f>IF(I153=0,"—",IFERROR(INDEX(Cotações!$H$2:$H$2,MATCH(1,INDEX((Cotações!$E$2:$E$2=$A153)*(Cotações!$J$2:$J$2=J153),0),0)),""))</f>
        <v/>
      </c>
      <c r="L153" s="18">
        <f>IF(I153=0,"—",IFERROR(J153*H153,""))</f>
        <v/>
      </c>
      <c r="M153" s="16" t="inlineStr">
        <is>
          <t>obra rápida por ser pré-moldado · recomendação: executar cedo (junto com o radier ou antes) para segurança do canteiro durante o restante da obra</t>
        </is>
      </c>
    </row>
    <row r="154">
      <c r="A154" s="21" t="inlineStr">
        <is>
          <t>IT151</t>
        </is>
      </c>
      <c r="B154" s="22" t="inlineStr">
        <is>
          <t>Geral / Estrutura</t>
        </is>
      </c>
      <c r="C154" s="22" t="inlineStr">
        <is>
          <t>material</t>
        </is>
      </c>
      <c r="D154" s="22" t="n">
        <v>4</v>
      </c>
      <c r="E154" s="21" t="inlineStr">
        <is>
          <t>Cantoneira de PVC com abas de tela — todos os cantos externos e vãos</t>
        </is>
      </c>
      <c r="F154" s="21" t="inlineStr">
        <is>
          <t>perfil de PVC rígido c/ abas de fibra de vidro álcali-resistente, embutido no basecoat/argamassa projetada · aplicar em TODOS os cantos externos (vivos) e nas laterais e vergas de portas e janelas</t>
        </is>
      </c>
      <c r="G154" s="21" t="inlineStr">
        <is>
          <t>m</t>
        </is>
      </c>
      <c r="H154" s="29" t="n">
        <v>321</v>
      </c>
      <c r="I154" s="21">
        <f>COUNTIFS(Cotações!$E$2:$E$2,$A154)</f>
        <v/>
      </c>
      <c r="J154" s="30">
        <f>IF(I154=0,"—",_xlfn.MINIFS(Cotações!$J$2:$J$2,Cotações!$E$2:$E$2,$A154))</f>
        <v/>
      </c>
      <c r="K154" s="22">
        <f>IF(I154=0,"—",IFERROR(INDEX(Cotações!$H$2:$H$2,MATCH(1,INDEX((Cotações!$E$2:$E$2=$A154)*(Cotações!$J$2:$J$2=J154),0),0)),""))</f>
        <v/>
      </c>
      <c r="L154" s="23">
        <f>IF(I154=0,"—",IFERROR(J154*H154,""))</f>
        <v/>
      </c>
      <c r="M154" s="21" t="inlineStr">
        <is>
          <t>não corrói nem mancha (ao contrário de alumínio em massa cimentícia — meio alcalino ataca o Al) · integra-se ao revestimento, sem descolamento · 292 m medidos + 10% de recorte · térreo 168 m (inclui cantos de 6,00 m do vão duplo) · superior 115 m · externos 18 m · usar também na junta dissimilar Monolev↔Lightwall onde houver aresta</t>
        </is>
      </c>
    </row>
    <row r="155">
      <c r="A155" s="16" t="inlineStr">
        <is>
          <t>IT152</t>
        </is>
      </c>
      <c r="B155" s="17" t="inlineStr">
        <is>
          <t>Climatização</t>
        </is>
      </c>
      <c r="C155" s="17" t="inlineStr">
        <is>
          <t>material</t>
        </is>
      </c>
      <c r="D155" s="17" t="n">
        <v>12</v>
      </c>
      <c r="E155" s="16" t="inlineStr">
        <is>
          <t>Exaustão da ilha — plenum embutido no forro c/ 2 frestas lineares</t>
        </is>
      </c>
      <c r="F155" s="16" t="inlineStr">
        <is>
          <t>plenum 1,40×0,90 no forro rebaixado sobre a ilha · 2 frestas de 30 mm × 2,60 m (uma de cada lado do painel de luz) · v=2,0 m/s · painel central removível p/ acesso aos filtros</t>
        </is>
      </c>
      <c r="G155" s="16" t="inlineStr">
        <is>
          <t>vb</t>
        </is>
      </c>
      <c r="H155" s="31" t="n">
        <v>1</v>
      </c>
      <c r="I155" s="16">
        <f>COUNTIFS(Cotações!$E$2:$E$2,$A155)</f>
        <v/>
      </c>
      <c r="J155" s="32">
        <f>IF(I155=0,"—",_xlfn.MINIFS(Cotações!$J$2:$J$2,Cotações!$E$2:$E$2,$A155))</f>
        <v/>
      </c>
      <c r="K155" s="17">
        <f>IF(I155=0,"—",IFERROR(INDEX(Cotações!$H$2:$H$2,MATCH(1,INDEX((Cotações!$E$2:$E$2=$A155)*(Cotações!$J$2:$J$2=J155),0),0)),""))</f>
        <v/>
      </c>
      <c r="L155" s="18">
        <f>IF(I155=0,"—",IFERROR(J155*H155,""))</f>
        <v/>
      </c>
      <c r="M155" s="16" t="inlineStr">
        <is>
          <t>iluminação linear da ilha integrada entre as frestas — um só elemento faz luz e exaustão · desligada, lê-se como junta negativa no forro</t>
        </is>
      </c>
    </row>
    <row r="156">
      <c r="A156" s="21" t="inlineStr">
        <is>
          <t>IT153</t>
        </is>
      </c>
      <c r="B156" s="22" t="inlineStr">
        <is>
          <t>Climatização</t>
        </is>
      </c>
      <c r="C156" s="22" t="inlineStr">
        <is>
          <t>material</t>
        </is>
      </c>
      <c r="D156" s="22" t="n">
        <v>12</v>
      </c>
      <c r="E156" s="21" t="inlineStr">
        <is>
          <t>Motor inline remoto Ø250 + duto e filtros da exaustão</t>
        </is>
      </c>
      <c r="F156" s="21" t="inlineStr">
        <is>
          <t>1.100 m³/h @ 200 Pa (~155 W de eixo) · duto liso Ø250 galv./inox ~10 m · 4 curvas · filtro de gordura metálico lavável · damper antirretorno · descarga em veneziana</t>
        </is>
      </c>
      <c r="G156" s="21" t="inlineStr">
        <is>
          <t>vb</t>
        </is>
      </c>
      <c r="H156" s="29" t="n">
        <v>1</v>
      </c>
      <c r="I156" s="21">
        <f>COUNTIFS(Cotações!$E$2:$E$2,$A156)</f>
        <v/>
      </c>
      <c r="J156" s="30">
        <f>IF(I156=0,"—",_xlfn.MINIFS(Cotações!$J$2:$J$2,Cotações!$E$2:$E$2,$A156))</f>
        <v/>
      </c>
      <c r="K156" s="22">
        <f>IF(I156=0,"—",IFERROR(INDEX(Cotações!$H$2:$H$2,MATCH(1,INDEX((Cotações!$E$2:$E$2=$A156)*(Cotações!$J$2:$J$2=J156),0),0)),""))</f>
        <v/>
      </c>
      <c r="L156" s="23">
        <f>IF(I156=0,"—",IFERROR(J156*H156,""))</f>
        <v/>
      </c>
      <c r="M156" s="21" t="inlineStr">
        <is>
          <t>motor instalado na ÁREA TÉCNICA (~8 m da ilha, 2 lajes de permeio): 32-38 dB(A) na cozinha vs 55-65 de coifa convencional · v no duto 6,2 m/s (silencioso) · descarga afastada ≥3 m do vidro da suíte e da janela do quarto</t>
        </is>
      </c>
    </row>
    <row r="157">
      <c r="A157" s="16" t="inlineStr">
        <is>
          <t>IT154</t>
        </is>
      </c>
      <c r="B157" s="17" t="inlineStr">
        <is>
          <t>Elétrica + Automação</t>
        </is>
      </c>
      <c r="C157" s="17" t="inlineStr">
        <is>
          <t>material</t>
        </is>
      </c>
      <c r="D157" s="17" t="n">
        <v>9</v>
      </c>
      <c r="E157" s="16" t="inlineStr">
        <is>
          <t>Automação da exaustão — medidor no circuito do Invisacook + sensor de VOC/umidade</t>
        </is>
      </c>
      <c r="F157" s="16" t="inlineStr">
        <is>
          <t>medidor de energia c/ TC no circuito C13 (40 A) + sensor VOC/umidade no forro da cozinha + atuador de velocidade do inline · integração Home Assistant</t>
        </is>
      </c>
      <c r="G157" s="16" t="inlineStr">
        <is>
          <t>cj</t>
        </is>
      </c>
      <c r="H157" s="31" t="n">
        <v>1</v>
      </c>
      <c r="I157" s="16">
        <f>COUNTIFS(Cotações!$E$2:$E$2,$A157)</f>
        <v/>
      </c>
      <c r="J157" s="32">
        <f>IF(I157=0,"—",_xlfn.MINIFS(Cotações!$J$2:$J$2,Cotações!$E$2:$E$2,$A157))</f>
        <v/>
      </c>
      <c r="K157" s="17">
        <f>IF(I157=0,"—",IFERROR(INDEX(Cotações!$H$2:$H$2,MATCH(1,INDEX((Cotações!$E$2:$E$2=$A157)*(Cotações!$J$2:$J$2=J157),0),0)),""))</f>
        <v/>
      </c>
      <c r="L157" s="18">
        <f>IF(I157=0,"—",IFERROR(J157*H157,""))</f>
        <v/>
      </c>
      <c r="M157" s="16" t="inlineStr">
        <is>
          <t>o Invisacook não tem botão nem presença — ninguém lembra de ligar a coifa · lógica: potência&gt;200 W no C13 → exaustão em baixa; VOC/umidade escalona; desliga 10 min após o fim · &gt;50% abre a janela da Luz 2 (ar de reposição)</t>
        </is>
      </c>
    </row>
    <row r="158">
      <c r="A158" s="21" t="inlineStr">
        <is>
          <t>IT155</t>
        </is>
      </c>
      <c r="B158" s="22" t="inlineStr">
        <is>
          <t>Mão de obra</t>
        </is>
      </c>
      <c r="C158" s="22" t="inlineStr">
        <is>
          <t>mão de obra</t>
        </is>
      </c>
      <c r="D158" s="22" t="n">
        <v>12</v>
      </c>
      <c r="E158" s="21" t="inlineStr">
        <is>
          <t>Mão de obra — exaustão da ilha (plenum, dutos, motor e comissionamento)</t>
        </is>
      </c>
      <c r="F158" s="21" t="inlineStr">
        <is>
          <t>montagem do plenum no forro, dutos, motor inline, balanceamento e medição de vazão</t>
        </is>
      </c>
      <c r="G158" s="21" t="inlineStr">
        <is>
          <t>vb</t>
        </is>
      </c>
      <c r="H158" s="29" t="n">
        <v>1</v>
      </c>
      <c r="I158" s="21">
        <f>COUNTIFS(Cotações!$E$2:$E$2,$A158)</f>
        <v/>
      </c>
      <c r="J158" s="30">
        <f>IF(I158=0,"—",_xlfn.MINIFS(Cotações!$J$2:$J$2,Cotações!$E$2:$E$2,$A158))</f>
        <v/>
      </c>
      <c r="K158" s="22">
        <f>IF(I158=0,"—",IFERROR(INDEX(Cotações!$H$2:$H$2,MATCH(1,INDEX((Cotações!$E$2:$E$2=$A158)*(Cotações!$J$2:$J$2=J158),0),0)),""))</f>
        <v/>
      </c>
      <c r="L158" s="23">
        <f>IF(I158=0,"—",IFERROR(J158*H158,""))</f>
        <v/>
      </c>
      <c r="M158" s="21" t="inlineStr"/>
    </row>
    <row r="159">
      <c r="A159" s="16" t="inlineStr">
        <is>
          <t>IT156</t>
        </is>
      </c>
      <c r="B159" s="17" t="inlineStr">
        <is>
          <t>Geral / Estrutura</t>
        </is>
      </c>
      <c r="C159" s="17" t="inlineStr">
        <is>
          <t>material</t>
        </is>
      </c>
      <c r="D159" s="17" t="n">
        <v>12</v>
      </c>
      <c r="E159" s="16" t="inlineStr">
        <is>
          <t>Portão-gradil da área técnica (sem porta — vão aberto p/ ventilação)</t>
        </is>
      </c>
      <c r="F159" s="16" t="inlineStr">
        <is>
          <t>gradil metálico galvanizado c/ fechadura · vão ~1,20 × 2,00 · área técnica permanece ABERTA (sem folha cega)</t>
        </is>
      </c>
      <c r="G159" s="16" t="inlineStr">
        <is>
          <t>un</t>
        </is>
      </c>
      <c r="H159" s="31" t="n">
        <v>1</v>
      </c>
      <c r="I159" s="16">
        <f>COUNTIFS(Cotações!$E$2:$E$2,$A159)</f>
        <v/>
      </c>
      <c r="J159" s="32">
        <f>IF(I159=0,"—",_xlfn.MINIFS(Cotações!$J$2:$J$2,Cotações!$E$2:$E$2,$A159))</f>
        <v/>
      </c>
      <c r="K159" s="17">
        <f>IF(I159=0,"—",IFERROR(INDEX(Cotações!$H$2:$H$2,MATCH(1,INDEX((Cotações!$E$2:$E$2=$A159)*(Cotações!$J$2:$J$2=J159),0),0)),""))</f>
        <v/>
      </c>
      <c r="L159" s="18">
        <f>IF(I159=0,"—",IFERROR(J159*H159,""))</f>
        <v/>
      </c>
      <c r="M159" s="16" t="inlineStr">
        <is>
          <t>CRÍTICO p/ a bomba de calor: BC AQS consome 250-400 m³/h e devolve o ar 4-6 °C mais frio · recinto de 11,5 m³ fechado faria o COP despencar (fabricantes exigem 15-20 m³ ou ventilação permanente) · aberta = ar infinito, COP nominal preservado · bônus: vazamento drena p/ fora, calor do rack dissipa</t>
        </is>
      </c>
    </row>
    <row r="160">
      <c r="A160" s="21" t="inlineStr">
        <is>
          <t>IT157</t>
        </is>
      </c>
      <c r="B160" s="22" t="inlineStr">
        <is>
          <t>Geral / Estrutura</t>
        </is>
      </c>
      <c r="C160" s="22" t="inlineStr">
        <is>
          <t>material</t>
        </is>
      </c>
      <c r="D160" s="22" t="n">
        <v>12</v>
      </c>
      <c r="E160" s="21" t="inlineStr">
        <is>
          <t>Escada marinheiro de acesso à área técnica</t>
        </is>
      </c>
      <c r="F160" s="21" t="inlineStr">
        <is>
          <t>metálica galvanizada · h=3,00 m · 10 degraus @0,30 · largura 0,40 · afastamento ≥0,15 da parede · prolongamento de 1,00 m acima do piso da técnica</t>
        </is>
      </c>
      <c r="G160" s="21" t="inlineStr">
        <is>
          <t>un</t>
        </is>
      </c>
      <c r="H160" s="29" t="n">
        <v>1</v>
      </c>
      <c r="I160" s="21">
        <f>COUNTIFS(Cotações!$E$2:$E$2,$A160)</f>
        <v/>
      </c>
      <c r="J160" s="30">
        <f>IF(I160=0,"—",_xlfn.MINIFS(Cotações!$J$2:$J$2,Cotações!$E$2:$E$2,$A160))</f>
        <v/>
      </c>
      <c r="K160" s="22">
        <f>IF(I160=0,"—",IFERROR(INDEX(Cotações!$H$2:$H$2,MATCH(1,INDEX((Cotações!$E$2:$E$2=$A160)*(Cotações!$J$2:$J$2=J160),0),0)),""))</f>
        <v/>
      </c>
      <c r="L160" s="23">
        <f>IF(I160=0,"—",IFERROR(J160*H160,""))</f>
        <v/>
      </c>
      <c r="M160" s="21" t="inlineStr">
        <is>
          <t>fixada na parede da Luz 2 (varal) — acesso pelo pátio descoberto, sem entrar na casa · residencial não obriga gaiola (NR-35 é p/ ambiente de trabalho), mas o prolongamento + corrimão de apoio é o mínimo sensato</t>
        </is>
      </c>
    </row>
    <row r="161">
      <c r="A161" s="16" t="inlineStr">
        <is>
          <t>IT158</t>
        </is>
      </c>
      <c r="B161" s="17" t="inlineStr">
        <is>
          <t>Elétrica + Automação</t>
        </is>
      </c>
      <c r="C161" s="17" t="inlineStr">
        <is>
          <t>material</t>
        </is>
      </c>
      <c r="D161" s="17" t="n">
        <v>9</v>
      </c>
      <c r="E161" s="16" t="inlineStr">
        <is>
          <t>Proteção IP dos equipamentos da área técnica aberta</t>
        </is>
      </c>
      <c r="F161" s="16" t="inlineStr">
        <is>
          <t>QDCA em quadro IP65 · rack de rede fechado c/ ventilação filtrada · tomadas IP54 · terminais protegidos</t>
        </is>
      </c>
      <c r="G161" s="16" t="inlineStr">
        <is>
          <t>vb</t>
        </is>
      </c>
      <c r="H161" s="31" t="n">
        <v>1</v>
      </c>
      <c r="I161" s="16">
        <f>COUNTIFS(Cotações!$E$2:$E$2,$A161)</f>
        <v/>
      </c>
      <c r="J161" s="32">
        <f>IF(I161=0,"—",_xlfn.MINIFS(Cotações!$J$2:$J$2,Cotações!$E$2:$E$2,$A161))</f>
        <v/>
      </c>
      <c r="K161" s="17">
        <f>IF(I161=0,"—",IFERROR(INDEX(Cotações!$H$2:$H$2,MATCH(1,INDEX((Cotações!$E$2:$E$2=$A161)*(Cotações!$J$2:$J$2=J161),0),0)),""))</f>
        <v/>
      </c>
      <c r="L161" s="18">
        <f>IF(I161=0,"—",IFERROR(J161*H161,""))</f>
        <v/>
      </c>
      <c r="M161" s="16" t="inlineStr">
        <is>
          <t>consequência de manter a técnica aberta: chuva de vento e maresia urbana atingem os equipamentos · custo pequeno perto do ganho de COP da bomba de calor</t>
        </is>
      </c>
    </row>
    <row r="162">
      <c r="A162" s="21" t="inlineStr">
        <is>
          <t>IT159</t>
        </is>
      </c>
      <c r="B162" s="22" t="inlineStr">
        <is>
          <t>Hidráulica</t>
        </is>
      </c>
      <c r="C162" s="22" t="inlineStr">
        <is>
          <t>material</t>
        </is>
      </c>
      <c r="D162" s="22" t="n">
        <v>6</v>
      </c>
      <c r="E162" s="21" t="inlineStr">
        <is>
          <t>Calhas retangulares 150 × 100 mm — 2 bordas longas</t>
        </is>
      </c>
      <c r="F162" s="21" t="inlineStr">
        <is>
          <t>chapa galvanizada #24 (0,65 mm) ou alumínio · declividade 0,5% para o fundo (SE) · suportes a cada 0,80 m · grelha folha-guarda</t>
        </is>
      </c>
      <c r="G162" s="21" t="inlineStr">
        <is>
          <t>m</t>
        </is>
      </c>
      <c r="H162" s="29" t="n">
        <v>26</v>
      </c>
      <c r="I162" s="21">
        <f>COUNTIFS(Cotações!$E$2:$E$2,$A162)</f>
        <v/>
      </c>
      <c r="J162" s="30">
        <f>IF(I162=0,"—",_xlfn.MINIFS(Cotações!$J$2:$J$2,Cotações!$E$2:$E$2,$A162))</f>
        <v/>
      </c>
      <c r="K162" s="22">
        <f>IF(I162=0,"—",IFERROR(INDEX(Cotações!$H$2:$H$2,MATCH(1,INDEX((Cotações!$E$2:$E$2=$A162)*(Cotações!$J$2:$J$2=J162),0),0)),""))</f>
        <v/>
      </c>
      <c r="L162" s="23">
        <f>IF(I162=0,"—",IFERROR(J162*H162,""))</f>
        <v/>
      </c>
      <c r="M162" s="21" t="inlineStr">
        <is>
          <t>capacidade 443 L/min vs 169 L/min da calha mais carregada (folga 2,6×) · I=172 mm/h São Paulo T=5 anos · ver F-13</t>
        </is>
      </c>
    </row>
    <row r="163">
      <c r="A163" s="16" t="inlineStr">
        <is>
          <t>IT160</t>
        </is>
      </c>
      <c r="B163" s="17" t="inlineStr">
        <is>
          <t>Hidráulica</t>
        </is>
      </c>
      <c r="C163" s="17" t="inlineStr">
        <is>
          <t>material</t>
        </is>
      </c>
      <c r="D163" s="17" t="n">
        <v>6</v>
      </c>
      <c r="E163" s="16" t="inlineStr">
        <is>
          <t>Condutores verticais Ø100 + coletor pluvial até a cisterna</t>
        </is>
      </c>
      <c r="F163" s="16" t="inlineStr">
        <is>
          <t>2 descidas Ø100 (capacidade ~430 L/min cada) no fundo SE + coletor Ø100 i=1% ao longo da parede do fundo</t>
        </is>
      </c>
      <c r="G163" s="16" t="inlineStr">
        <is>
          <t>vb</t>
        </is>
      </c>
      <c r="H163" s="31" t="n">
        <v>1</v>
      </c>
      <c r="I163" s="16">
        <f>COUNTIFS(Cotações!$E$2:$E$2,$A163)</f>
        <v/>
      </c>
      <c r="J163" s="32">
        <f>IF(I163=0,"—",_xlfn.MINIFS(Cotações!$J$2:$J$2,Cotações!$E$2:$E$2,$A163))</f>
        <v/>
      </c>
      <c r="K163" s="17">
        <f>IF(I163=0,"—",IFERROR(INDEX(Cotações!$H$2:$H$2,MATCH(1,INDEX((Cotações!$E$2:$E$2=$A163)*(Cotações!$J$2:$J$2=J163),0),0)),""))</f>
        <v/>
      </c>
      <c r="L163" s="18">
        <f>IF(I163=0,"—",IFERROR(J163*H163,""))</f>
        <v/>
      </c>
      <c r="M163" s="16" t="inlineStr">
        <is>
          <t>as duas calhas caem para o fundo → descidas chegam juntas na cisterna, sem coletor atravessando o quintal</t>
        </is>
      </c>
    </row>
    <row r="164">
      <c r="A164" s="21" t="inlineStr">
        <is>
          <t>IT161</t>
        </is>
      </c>
      <c r="B164" s="22" t="inlineStr">
        <is>
          <t>Hidráulica</t>
        </is>
      </c>
      <c r="C164" s="22" t="inlineStr">
        <is>
          <t>material</t>
        </is>
      </c>
      <c r="D164" s="22" t="n">
        <v>8</v>
      </c>
      <c r="E164" s="21" t="inlineStr">
        <is>
          <t>Cisterna de água de chuva 5.000 L + filtro + descarte de primeira chuva</t>
        </is>
      </c>
      <c r="F164" s="21" t="inlineStr">
        <is>
          <t>reservatório 5.000 L · filtro de malha 1 mm · dispositivo de first flush 216 L (2 mm × 108 m²) c/ dreno lento · extravasor com sifão e tela</t>
        </is>
      </c>
      <c r="G164" s="21" t="inlineStr">
        <is>
          <t>cj</t>
        </is>
      </c>
      <c r="H164" s="29" t="n">
        <v>1</v>
      </c>
      <c r="I164" s="21">
        <f>COUNTIFS(Cotações!$E$2:$E$2,$A164)</f>
        <v/>
      </c>
      <c r="J164" s="30">
        <f>IF(I164=0,"—",_xlfn.MINIFS(Cotações!$J$2:$J$2,Cotações!$E$2:$E$2,$A164))</f>
        <v/>
      </c>
      <c r="K164" s="22">
        <f>IF(I164=0,"—",IFERROR(INDEX(Cotações!$H$2:$H$2,MATCH(1,INDEX((Cotações!$E$2:$E$2=$A164)*(Cotações!$J$2:$J$2=J164),0),0)),""))</f>
        <v/>
      </c>
      <c r="L164" s="23">
        <f>IF(I164=0,"—",IFERROR(J164*H164,""))</f>
        <v/>
      </c>
      <c r="M164" s="21" t="inlineStr">
        <is>
          <t>NBR 15527 · potencial de captação 121 m³/ano (108 m² × 1.470 mm × 0,85 × 0,90) · autonomia 28 dias (irrigação+lavagem) ou 16 dias se alimentar vasos · POSIÇÃO A CONFIRMAR: parede do fundo SE, junto ao canto com o corredor SO</t>
        </is>
      </c>
    </row>
    <row r="165">
      <c r="A165" s="16" t="inlineStr">
        <is>
          <t>IT162</t>
        </is>
      </c>
      <c r="B165" s="17" t="inlineStr">
        <is>
          <t>Hidráulica</t>
        </is>
      </c>
      <c r="C165" s="17" t="inlineStr">
        <is>
          <t>material</t>
        </is>
      </c>
      <c r="D165" s="17" t="n">
        <v>8</v>
      </c>
      <c r="E165" s="16" t="inlineStr">
        <is>
          <t>Rede de água não potável + bomba da cisterna</t>
        </is>
      </c>
      <c r="F165" s="16" t="inlineStr">
        <is>
          <t>bomba/pressurizador dedicado · tubulação em cor distinta (roxa) · placas "ÁGUA NÃO POTÁVEL" em todos os pontos de uso · pontos: parede verde, jardim frontal, quintal, torneiras de lavagem</t>
        </is>
      </c>
      <c r="G165" s="16" t="inlineStr">
        <is>
          <t>vb</t>
        </is>
      </c>
      <c r="H165" s="31" t="n">
        <v>1</v>
      </c>
      <c r="I165" s="16">
        <f>COUNTIFS(Cotações!$E$2:$E$2,$A165)</f>
        <v/>
      </c>
      <c r="J165" s="32">
        <f>IF(I165=0,"—",_xlfn.MINIFS(Cotações!$J$2:$J$2,Cotações!$E$2:$E$2,$A165))</f>
        <v/>
      </c>
      <c r="K165" s="17">
        <f>IF(I165=0,"—",IFERROR(INDEX(Cotações!$H$2:$H$2,MATCH(1,INDEX((Cotações!$E$2:$E$2=$A165)*(Cotações!$J$2:$J$2=J165),0),0)),""))</f>
        <v/>
      </c>
      <c r="L165" s="18">
        <f>IF(I165=0,"—",IFERROR(J165*H165,""))</f>
        <v/>
      </c>
      <c r="M165" s="16" t="inlineStr">
        <is>
          <t>SEPARAÇÃO ABSOLUTA da rede potável — sem interligação nem registro de emergência (NBR 15527) · mesma bomba alimenta a irrigação da parede verde, que já tinha ponto de água previsto</t>
        </is>
      </c>
    </row>
    <row r="166">
      <c r="A166" s="21" t="inlineStr">
        <is>
          <t>IT163</t>
        </is>
      </c>
      <c r="B166" s="22" t="inlineStr">
        <is>
          <t>Hidráulica</t>
        </is>
      </c>
      <c r="C166" s="22" t="inlineStr">
        <is>
          <t>material</t>
        </is>
      </c>
      <c r="D166" s="22" t="n">
        <v>8</v>
      </c>
      <c r="E166" s="21" t="inlineStr">
        <is>
          <t>Caixa de gordura DUPLA (120 L, Ø600) + 3 caixas de inspeção 60×60</t>
        </is>
      </c>
      <c r="F166" s="21" t="inlineStr">
        <is>
          <t>CG dupla recebendo cozinha + área gourmet · caixas de inspeção em mudanças de direção e a cada ≤25 m</t>
        </is>
      </c>
      <c r="G166" s="21" t="inlineStr">
        <is>
          <t>cj</t>
        </is>
      </c>
      <c r="H166" s="29" t="n">
        <v>1</v>
      </c>
      <c r="I166" s="21">
        <f>COUNTIFS(Cotações!$E$2:$E$2,$A166)</f>
        <v/>
      </c>
      <c r="J166" s="30">
        <f>IF(I166=0,"—",_xlfn.MINIFS(Cotações!$J$2:$J$2,Cotações!$E$2:$E$2,$A166))</f>
        <v/>
      </c>
      <c r="K166" s="22">
        <f>IF(I166=0,"—",IFERROR(INDEX(Cotações!$H$2:$H$2,MATCH(1,INDEX((Cotações!$E$2:$E$2=$A166)*(Cotações!$J$2:$J$2=J166),0),0)),""))</f>
        <v/>
      </c>
      <c r="L166" s="23">
        <f>IF(I166=0,"—",IFERROR(J166*H166,""))</f>
        <v/>
      </c>
      <c r="M166" s="21" t="inlineStr">
        <is>
          <t>a caixa simples (31 L) atende só 1 cozinha — a casa tem cozinha + pia do gourmet · CG recebe SÓ pias, nunca vaso · posicionar em local de acesso fácil (limpeza trimestral)</t>
        </is>
      </c>
    </row>
    <row r="167">
      <c r="A167" s="16" t="inlineStr">
        <is>
          <t>IT164</t>
        </is>
      </c>
      <c r="B167" s="17" t="inlineStr">
        <is>
          <t>Hidráulica</t>
        </is>
      </c>
      <c r="C167" s="17" t="inlineStr">
        <is>
          <t>material</t>
        </is>
      </c>
      <c r="D167" s="17" t="n">
        <v>8</v>
      </c>
      <c r="E167" s="16" t="inlineStr">
        <is>
          <t>Reserva potável 3.000 L NO SOLO + pressurizador com inversor</t>
        </is>
      </c>
      <c r="F167" s="16" t="inlineStr">
        <is>
          <t>reservatório 3.000 L no solo (enterrado ou aparente) · pressurizador com inversor (pressão constante) · alimenta manifolds da área técnica</t>
        </is>
      </c>
      <c r="G167" s="16" t="inlineStr">
        <is>
          <t>cj</t>
        </is>
      </c>
      <c r="H167" s="31" t="n">
        <v>1</v>
      </c>
      <c r="I167" s="16">
        <f>COUNTIFS(Cotações!$E$2:$E$2,$A167)</f>
        <v/>
      </c>
      <c r="J167" s="32">
        <f>IF(I167=0,"—",_xlfn.MINIFS(Cotações!$J$2:$J$2,Cotações!$E$2:$E$2,$A167))</f>
        <v/>
      </c>
      <c r="K167" s="17">
        <f>IF(I167=0,"—",IFERROR(INDEX(Cotações!$H$2:$H$2,MATCH(1,INDEX((Cotações!$E$2:$E$2=$A167)*(Cotações!$J$2:$J$2=J167),0),0)),""))</f>
        <v/>
      </c>
      <c r="L167" s="18">
        <f>IF(I167=0,"—",IFERROR(J167*H167,""))</f>
        <v/>
      </c>
      <c r="M167" s="16" t="inlineStr">
        <is>
          <t>SUBSTITUI a caixa elevada: 1.000 L na laje da técnica = 1.630 kg em 4,8 m² = 340 kgf/m², contra 150 da NBR 6120 · no solo, a laje fica com 630 kg (131 kgf/m²) e a autonomia vai de 33 h para 100 h · contrapartida: sem energia não há água — avaliar caixa de 500 L de emergência (sobe p/ 235 kgf/m², exige reforço local) ou nobreak para o pressurizador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2" customWidth="1" min="3" max="3"/>
    <col width="17" customWidth="1" min="4" max="4"/>
    <col width="8" customWidth="1" min="5" max="5"/>
    <col width="38" customWidth="1" min="6" max="6"/>
    <col width="7" customWidth="1" min="7" max="7"/>
    <col width="26" customWidth="1" min="8" max="8"/>
    <col width="9" customWidth="1" min="9" max="9"/>
    <col width="13" customWidth="1" min="10" max="10"/>
    <col width="13" customWidth="1" min="11" max="11"/>
    <col width="9" customWidth="1" min="12" max="12"/>
    <col width="42" customWidth="1" min="13" max="13"/>
  </cols>
  <sheetData>
    <row r="1" ht="26" customHeight="1">
      <c r="A1" s="15" t="inlineStr">
        <is>
          <t>ID</t>
        </is>
      </c>
      <c r="B1" s="15" t="inlineStr">
        <is>
          <t>Data</t>
        </is>
      </c>
      <c r="C1" s="15" t="inlineStr">
        <is>
          <t>Tipo</t>
        </is>
      </c>
      <c r="D1" s="15" t="inlineStr">
        <is>
          <t>Categoria</t>
        </is>
      </c>
      <c r="E1" s="15" t="inlineStr">
        <is>
          <t>Item ID</t>
        </is>
      </c>
      <c r="F1" s="15" t="inlineStr">
        <is>
          <t>Item</t>
        </is>
      </c>
      <c r="G1" s="15" t="inlineStr">
        <is>
          <t>Etapa</t>
        </is>
      </c>
      <c r="H1" s="15" t="inlineStr">
        <is>
          <t>Fornecedor / empreiteiro</t>
        </is>
      </c>
      <c r="I1" s="15" t="inlineStr">
        <is>
          <t>Qtde</t>
        </is>
      </c>
      <c r="J1" s="15" t="inlineStr">
        <is>
          <t>Preço unit.</t>
        </is>
      </c>
      <c r="K1" s="15" t="inlineStr">
        <is>
          <t>Total</t>
        </is>
      </c>
      <c r="L1" s="15" t="inlineStr">
        <is>
          <t>Melhor?</t>
        </is>
      </c>
      <c r="M1" s="15" t="inlineStr">
        <is>
          <t>Observação</t>
        </is>
      </c>
    </row>
    <row r="2"/>
    <row r="3">
      <c r="A3" s="33" t="inlineStr">
        <is>
          <t>Nenhuma cotação lançada ainda — use o formulário do site.</t>
        </is>
      </c>
    </row>
  </sheetData>
  <mergeCells count="1">
    <mergeCell ref="A3:M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26" customWidth="1" min="7" max="7"/>
  </cols>
  <sheetData>
    <row r="1">
      <c r="A1" s="14" t="inlineStr">
        <is>
          <t>COTADO × ESTIMADO POR ETAPA</t>
        </is>
      </c>
    </row>
    <row r="2" ht="26" customHeight="1">
      <c r="A2" s="15" t="inlineStr">
        <is>
          <t>#</t>
        </is>
      </c>
      <c r="B2" s="15" t="inlineStr">
        <is>
          <t>Etapa</t>
        </is>
      </c>
      <c r="C2" s="15" t="inlineStr">
        <is>
          <t>Estim. baixa</t>
        </is>
      </c>
      <c r="D2" s="15" t="inlineStr">
        <is>
          <t>Estim. alta</t>
        </is>
      </c>
      <c r="E2" s="15" t="inlineStr">
        <is>
          <t>Real / cotado</t>
        </is>
      </c>
      <c r="F2" s="15" t="inlineStr">
        <is>
          <t>Δ vs. alta</t>
        </is>
      </c>
      <c r="G2" s="15" t="inlineStr">
        <is>
          <t>Situação</t>
        </is>
      </c>
    </row>
    <row r="3">
      <c r="A3" s="16" t="n">
        <v>1</v>
      </c>
      <c r="B3" s="17" t="inlineStr">
        <is>
          <t>Projetos, sondagem e aprovações</t>
        </is>
      </c>
      <c r="C3" s="18">
        <f>Etapas!C3</f>
        <v/>
      </c>
      <c r="D3" s="18">
        <f>Etapas!D3</f>
        <v/>
      </c>
      <c r="E3" s="19">
        <f>IF(Etapas!I3&gt;0,Etapas!I3,Etapas!L3)</f>
        <v/>
      </c>
      <c r="F3" s="19">
        <f>IF(E3=0,"",D3-E3)</f>
        <v/>
      </c>
      <c r="G3" s="16">
        <f>IF(E3=0,"sem cotação",IF(E3&gt;D3,"ACIMA da faixa",IF(E3&lt;C3,"abaixo da faixa","dentro da faixa")))</f>
        <v/>
      </c>
    </row>
    <row r="4">
      <c r="A4" s="21" t="n">
        <v>2</v>
      </c>
      <c r="B4" s="22" t="inlineStr">
        <is>
          <t>Fundação (radier 103 m²) + muro de divisa 210 m²</t>
        </is>
      </c>
      <c r="C4" s="23">
        <f>Etapas!C4</f>
        <v/>
      </c>
      <c r="D4" s="23">
        <f>Etapas!D4</f>
        <v/>
      </c>
      <c r="E4" s="24">
        <f>IF(Etapas!I4&gt;0,Etapas!I4,Etapas!L4)</f>
        <v/>
      </c>
      <c r="F4" s="24">
        <f>IF(E4=0,"",D4-E4)</f>
        <v/>
      </c>
      <c r="G4" s="21">
        <f>IF(E4=0,"sem cotação",IF(E4&gt;D4,"ACIMA da faixa",IF(E4&lt;C4,"abaixo da faixa","dentro da faixa")))</f>
        <v/>
      </c>
    </row>
    <row r="5">
      <c r="A5" s="16" t="n">
        <v>3</v>
      </c>
      <c r="B5" s="17" t="inlineStr">
        <is>
          <t>Estrutura metálica</t>
        </is>
      </c>
      <c r="C5" s="18">
        <f>Etapas!C5</f>
        <v/>
      </c>
      <c r="D5" s="18">
        <f>Etapas!D5</f>
        <v/>
      </c>
      <c r="E5" s="19">
        <f>IF(Etapas!I5&gt;0,Etapas!I5,Etapas!L5)</f>
        <v/>
      </c>
      <c r="F5" s="19">
        <f>IF(E5=0,"",D5-E5)</f>
        <v/>
      </c>
      <c r="G5" s="16">
        <f>IF(E5=0,"sem cotação",IF(E5&gt;D5,"ACIMA da faixa",IF(E5&lt;C5,"abaixo da faixa","dentro da faixa")))</f>
        <v/>
      </c>
    </row>
    <row r="6">
      <c r="A6" s="21" t="n">
        <v>4</v>
      </c>
      <c r="B6" s="22" t="inlineStr">
        <is>
          <t>Paredes: Monolev (estrutural) + divisórias Lightwall</t>
        </is>
      </c>
      <c r="C6" s="23">
        <f>Etapas!C6</f>
        <v/>
      </c>
      <c r="D6" s="23">
        <f>Etapas!D6</f>
        <v/>
      </c>
      <c r="E6" s="24">
        <f>IF(Etapas!I6&gt;0,Etapas!I6,Etapas!L6)</f>
        <v/>
      </c>
      <c r="F6" s="24">
        <f>IF(E6=0,"",D6-E6)</f>
        <v/>
      </c>
      <c r="G6" s="21">
        <f>IF(E6=0,"sem cotação",IF(E6&gt;D6,"ACIMA da faixa",IF(E6&lt;C6,"abaixo da faixa","dentro da faixa")))</f>
        <v/>
      </c>
    </row>
    <row r="7">
      <c r="A7" s="16" t="n">
        <v>5</v>
      </c>
      <c r="B7" s="17" t="inlineStr">
        <is>
          <t>Lajes de PISO (superior + sacada + técnica)</t>
        </is>
      </c>
      <c r="C7" s="18">
        <f>Etapas!C7</f>
        <v/>
      </c>
      <c r="D7" s="18">
        <f>Etapas!D7</f>
        <v/>
      </c>
      <c r="E7" s="19">
        <f>IF(Etapas!I7&gt;0,Etapas!I7,Etapas!L7)</f>
        <v/>
      </c>
      <c r="F7" s="19">
        <f>IF(E7=0,"",D7-E7)</f>
        <v/>
      </c>
      <c r="G7" s="16">
        <f>IF(E7=0,"sem cotação",IF(E7&gt;D7,"ACIMA da faixa",IF(E7&lt;C7,"abaixo da faixa","dentro da faixa")))</f>
        <v/>
      </c>
    </row>
    <row r="8">
      <c r="A8" s="21" t="n">
        <v>6</v>
      </c>
      <c r="B8" s="22" t="inlineStr">
        <is>
          <t>Cobertura + lanternim</t>
        </is>
      </c>
      <c r="C8" s="23">
        <f>Etapas!C8</f>
        <v/>
      </c>
      <c r="D8" s="23">
        <f>Etapas!D8</f>
        <v/>
      </c>
      <c r="E8" s="24">
        <f>IF(Etapas!I8&gt;0,Etapas!I8,Etapas!L8)</f>
        <v/>
      </c>
      <c r="F8" s="24">
        <f>IF(E8=0,"",D8-E8)</f>
        <v/>
      </c>
      <c r="G8" s="21">
        <f>IF(E8=0,"sem cotação",IF(E8&gt;D8,"ACIMA da faixa",IF(E8&lt;C8,"abaixo da faixa","dentro da faixa")))</f>
        <v/>
      </c>
    </row>
    <row r="9">
      <c r="A9" s="16" t="n">
        <v>7</v>
      </c>
      <c r="B9" s="17" t="inlineStr">
        <is>
          <t>Esquadrias e vidros</t>
        </is>
      </c>
      <c r="C9" s="18">
        <f>Etapas!C9</f>
        <v/>
      </c>
      <c r="D9" s="18">
        <f>Etapas!D9</f>
        <v/>
      </c>
      <c r="E9" s="19">
        <f>IF(Etapas!I9&gt;0,Etapas!I9,Etapas!L9)</f>
        <v/>
      </c>
      <c r="F9" s="19">
        <f>IF(E9=0,"",D9-E9)</f>
        <v/>
      </c>
      <c r="G9" s="16">
        <f>IF(E9=0,"sem cotação",IF(E9&gt;D9,"ACIMA da faixa",IF(E9&lt;C9,"abaixo da faixa","dentro da faixa")))</f>
        <v/>
      </c>
    </row>
    <row r="10">
      <c r="A10" s="21" t="n">
        <v>8</v>
      </c>
      <c r="B10" s="22" t="inlineStr">
        <is>
          <t>Hidráulica + água quente + prep. PV</t>
        </is>
      </c>
      <c r="C10" s="23">
        <f>Etapas!C10</f>
        <v/>
      </c>
      <c r="D10" s="23">
        <f>Etapas!D10</f>
        <v/>
      </c>
      <c r="E10" s="24">
        <f>IF(Etapas!I10&gt;0,Etapas!I10,Etapas!L10)</f>
        <v/>
      </c>
      <c r="F10" s="24">
        <f>IF(E10=0,"",D10-E10)</f>
        <v/>
      </c>
      <c r="G10" s="21">
        <f>IF(E10=0,"sem cotação",IF(E10&gt;D10,"ACIMA da faixa",IF(E10&lt;C10,"abaixo da faixa","dentro da faixa")))</f>
        <v/>
      </c>
    </row>
    <row r="11">
      <c r="A11" s="16" t="n">
        <v>9</v>
      </c>
      <c r="B11" s="17" t="inlineStr">
        <is>
          <t>Elétrica + automação + rede</t>
        </is>
      </c>
      <c r="C11" s="18">
        <f>Etapas!C11</f>
        <v/>
      </c>
      <c r="D11" s="18">
        <f>Etapas!D11</f>
        <v/>
      </c>
      <c r="E11" s="19">
        <f>IF(Etapas!I11&gt;0,Etapas!I11,Etapas!L11)</f>
        <v/>
      </c>
      <c r="F11" s="19">
        <f>IF(E11=0,"",D11-E11)</f>
        <v/>
      </c>
      <c r="G11" s="16">
        <f>IF(E11=0,"sem cotação",IF(E11&gt;D11,"ACIMA da faixa",IF(E11&lt;C11,"abaixo da faixa","dentro da faixa")))</f>
        <v/>
      </c>
    </row>
    <row r="12">
      <c r="A12" s="21" t="n">
        <v>10</v>
      </c>
      <c r="B12" s="22" t="inlineStr">
        <is>
          <t>Climatização</t>
        </is>
      </c>
      <c r="C12" s="23">
        <f>Etapas!C12</f>
        <v/>
      </c>
      <c r="D12" s="23">
        <f>Etapas!D12</f>
        <v/>
      </c>
      <c r="E12" s="24">
        <f>IF(Etapas!I12&gt;0,Etapas!I12,Etapas!L12)</f>
        <v/>
      </c>
      <c r="F12" s="24">
        <f>IF(E12=0,"",D12-E12)</f>
        <v/>
      </c>
      <c r="G12" s="21">
        <f>IF(E12=0,"sem cotação",IF(E12&gt;D12,"ACIMA da faixa",IF(E12&lt;C12,"abaixo da faixa","dentro da faixa")))</f>
        <v/>
      </c>
    </row>
    <row r="13">
      <c r="A13" s="16" t="n">
        <v>11</v>
      </c>
      <c r="B13" s="17" t="inlineStr">
        <is>
          <t>Acabamentos resinados (sem porcelanato)</t>
        </is>
      </c>
      <c r="C13" s="18">
        <f>Etapas!C13</f>
        <v/>
      </c>
      <c r="D13" s="18">
        <f>Etapas!D13</f>
        <v/>
      </c>
      <c r="E13" s="19">
        <f>IF(Etapas!I13&gt;0,Etapas!I13,Etapas!L13)</f>
        <v/>
      </c>
      <c r="F13" s="19">
        <f>IF(E13=0,"",D13-E13)</f>
        <v/>
      </c>
      <c r="G13" s="16">
        <f>IF(E13=0,"sem cotação",IF(E13&gt;D13,"ACIMA da faixa",IF(E13&lt;C13,"abaixo da faixa","dentro da faixa")))</f>
        <v/>
      </c>
    </row>
    <row r="14">
      <c r="A14" s="21" t="n">
        <v>12</v>
      </c>
      <c r="B14" s="22" t="inlineStr">
        <is>
          <t>Gourmet (Invisacook, bancada, churrasqueira)</t>
        </is>
      </c>
      <c r="C14" s="23">
        <f>Etapas!C14</f>
        <v/>
      </c>
      <c r="D14" s="23">
        <f>Etapas!D14</f>
        <v/>
      </c>
      <c r="E14" s="24">
        <f>IF(Etapas!I14&gt;0,Etapas!I14,Etapas!L14)</f>
        <v/>
      </c>
      <c r="F14" s="24">
        <f>IF(E14=0,"",D14-E14)</f>
        <v/>
      </c>
      <c r="G14" s="21">
        <f>IF(E14=0,"sem cotação",IF(E14&gt;D14,"ACIMA da faixa",IF(E14&lt;C14,"abaixo da faixa","dentro da faixa")))</f>
        <v/>
      </c>
    </row>
    <row r="15">
      <c r="A15" s="16" t="n">
        <v>13</v>
      </c>
      <c r="B15" s="17" t="inlineStr">
        <is>
          <t>Canteiro, limpeza e imprevistos (~8%)</t>
        </is>
      </c>
      <c r="C15" s="18">
        <f>Etapas!C15</f>
        <v/>
      </c>
      <c r="D15" s="18">
        <f>Etapas!D15</f>
        <v/>
      </c>
      <c r="E15" s="19">
        <f>IF(Etapas!I15&gt;0,Etapas!I15,Etapas!L15)</f>
        <v/>
      </c>
      <c r="F15" s="19">
        <f>IF(E15=0,"",D15-E15)</f>
        <v/>
      </c>
      <c r="G15" s="16">
        <f>IF(E15=0,"sem cotação",IF(E15&gt;D15,"ACIMA da faixa",IF(E15&lt;C15,"abaixo da faixa","dentro da faixa")))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</cols>
  <sheetData>
    <row r="1">
      <c r="A1" s="14" t="inlineStr">
        <is>
          <t>HISTÓRICO DE REVISÕES DO PROJETO</t>
        </is>
      </c>
    </row>
    <row r="2" ht="26" customHeight="1">
      <c r="A2" s="15" t="inlineStr">
        <is>
          <t>Data</t>
        </is>
      </c>
      <c r="B2" s="15" t="inlineStr">
        <is>
          <t>Alteração</t>
        </is>
      </c>
      <c r="C2" s="15" t="inlineStr">
        <is>
          <t>Impacto</t>
        </is>
      </c>
    </row>
    <row r="3">
      <c r="A3" s="16" t="inlineStr">
        <is>
          <t>13/07/2026</t>
        </is>
      </c>
      <c r="B3" s="17" t="inlineStr">
        <is>
          <t>Versão inicial da planilha (13 etapas, 116 itens)</t>
        </is>
      </c>
      <c r="C3" s="17" t="inlineStr">
        <is>
          <t>Faixa R$ 498–764 mil</t>
        </is>
      </c>
    </row>
    <row r="4">
      <c r="A4" s="21" t="inlineStr">
        <is>
          <t>13/07/2026</t>
        </is>
      </c>
      <c r="B4" s="22" t="inlineStr">
        <is>
          <t>Orientação corrigida: frente NOROESTE (não norte)</t>
        </is>
      </c>
      <c r="C4" s="22" t="inlineStr">
        <is>
          <t>Fachada frontal recebe sol da tarde — verificar conforto</t>
        </is>
      </c>
    </row>
    <row r="5">
      <c r="A5" s="16" t="inlineStr">
        <is>
          <t>13/07/2026</t>
        </is>
      </c>
      <c r="B5" s="17" t="inlineStr">
        <is>
          <t>Janelão da escada c/ peitoril 1,00 m (2,2 × 4,70)</t>
        </is>
      </c>
      <c r="C5" s="17" t="inlineStr">
        <is>
          <t>Vidro 12 → 10,5 m²</t>
        </is>
      </c>
    </row>
    <row r="6">
      <c r="A6" s="21" t="inlineStr">
        <is>
          <t>13/07/2026</t>
        </is>
      </c>
      <c r="B6" s="22" t="inlineStr">
        <is>
          <t>Vão da garagem em altura total (chão → laje), viga na testada</t>
        </is>
      </c>
      <c r="C6" s="22" t="inlineStr">
        <is>
          <t>Perfil da viga a validar (altura útil limitada)</t>
        </is>
      </c>
    </row>
    <row r="7">
      <c r="A7" s="16" t="inlineStr">
        <is>
          <t>15/07/2026</t>
        </is>
      </c>
      <c r="B7" s="17" t="inlineStr">
        <is>
          <t>Esclarecido: lajes = SÓ pisos. Forro nivelado gesso+EPS incluído</t>
        </is>
      </c>
      <c r="C7" s="17" t="inlineStr">
        <is>
          <t>+47 m² de forro (antes ausente do orçamento)</t>
        </is>
      </c>
    </row>
    <row r="8">
      <c r="A8" s="21" t="inlineStr">
        <is>
          <t>15/07/2026</t>
        </is>
      </c>
      <c r="B8" s="22" t="inlineStr">
        <is>
          <t>Forro de MADEIRA no mezanino/vão duplo acompanhando o telhado</t>
        </is>
      </c>
      <c r="C8" s="22" t="inlineStr">
        <is>
          <t>+45 m² · R$ 8–16 mil (item premium)</t>
        </is>
      </c>
    </row>
    <row r="9">
      <c r="A9" s="16" t="inlineStr">
        <is>
          <t>15/07/2026</t>
        </is>
      </c>
      <c r="B9" s="17" t="inlineStr">
        <is>
          <t>Divisórias do superior migradas de Monolev p/ Lightwall 2P 90</t>
        </is>
      </c>
      <c r="C9" s="17" t="inlineStr">
        <is>
          <t>Monolev 421 → 340 m² · Etapa 4: R$ 120–170k → R$ 110–156k</t>
        </is>
      </c>
    </row>
    <row r="10">
      <c r="A10" s="21" t="inlineStr">
        <is>
          <t>16/07/2026</t>
        </is>
      </c>
      <c r="B10" s="22" t="inlineStr">
        <is>
          <t>Faixa NE: área de luz até a fachada, portinha recuada 0,80</t>
        </is>
      </c>
      <c r="C10" s="22" t="inlineStr">
        <is>
          <t>Telha 105 → 98 m² · estrutura 100 → 95 m²</t>
        </is>
      </c>
    </row>
    <row r="11">
      <c r="A11" s="16" t="inlineStr">
        <is>
          <t>16/07/2026</t>
        </is>
      </c>
      <c r="B11" s="17" t="inlineStr">
        <is>
          <t>Parede cega entre Luz 1 e Luz 2 · Luz 1 = jardim de inverno</t>
        </is>
      </c>
      <c r="C11" s="17" t="inlineStr">
        <is>
          <t>+14 m² parede verde · +12 m² janelão · impermeabilizar divisa</t>
        </is>
      </c>
    </row>
    <row r="12">
      <c r="A12" s="21" t="inlineStr">
        <is>
          <t>16/07/2026</t>
        </is>
      </c>
      <c r="B12" s="22" t="inlineStr">
        <is>
          <t>Cobertura: pórticos de viga cheia → 3 TRELIÇAS @3,25 m</t>
        </is>
      </c>
      <c r="C12" s="22" t="inlineStr">
        <is>
          <t>Aço 1,4 t → ~1,0 t · degrau do lanternim triangulado</t>
        </is>
      </c>
    </row>
    <row r="13">
      <c r="A13" s="16" t="inlineStr">
        <is>
          <t>16/07/2026</t>
        </is>
      </c>
      <c r="B13" s="17" t="inlineStr">
        <is>
          <t>Terças: 6 → 4 linhas e Ue 150 → Ue 100</t>
        </is>
      </c>
      <c r="C13" s="17" t="inlineStr">
        <is>
          <t>−170 kg · σ 61 MPa (24% de fy), flecha L/483</t>
        </is>
      </c>
    </row>
    <row r="14">
      <c r="A14" s="21" t="inlineStr">
        <is>
          <t>16/07/2026</t>
        </is>
      </c>
      <c r="B14" s="22" t="inlineStr">
        <is>
          <t>Custo de projeto/engenheiro/arquiteto detalhado (8 itens)</t>
        </is>
      </c>
      <c r="C14" s="22" t="inlineStr">
        <is>
          <t>Etapa 1: R$ 20–35k → R$ 34–78k · total R$ 502–793k</t>
        </is>
      </c>
    </row>
    <row r="15">
      <c r="A15" s="16" t="inlineStr">
        <is>
          <t>16/07/2026</t>
        </is>
      </c>
      <c r="B15" s="17" t="inlineStr">
        <is>
          <t>Mão de obra cotável por etapa (13 itens) + aba Fornecedores</t>
        </is>
      </c>
      <c r="C15" s="17" t="inlineStr">
        <is>
          <t>Material e mão de obra separados por etapa e por fornecedor</t>
        </is>
      </c>
    </row>
    <row r="16">
      <c r="A16" s="21" t="inlineStr">
        <is>
          <t>16/07/2026</t>
        </is>
      </c>
      <c r="B16" s="22" t="inlineStr">
        <is>
          <t>Térreo: banheiro sai da parede da garagem → banheiro + lavabo no fundo da cozinha (faixa SO)</t>
        </is>
      </c>
      <c r="C16" s="22" t="inlineStr">
        <is>
          <t>Cozinha 36 → 29 m² · +1 lavabo · janelas p/ o acesso lateral · porta do lavabo p/ a varanda</t>
        </is>
      </c>
    </row>
    <row r="17">
      <c r="A17" s="16" t="inlineStr">
        <is>
          <t>16/07/2026</t>
        </is>
      </c>
      <c r="B17" s="17" t="inlineStr">
        <is>
          <t>Porta da lavanderia a 0,90 da parede do fundo</t>
        </is>
      </c>
      <c r="C17" s="17" t="inlineStr">
        <is>
          <t>Máquina sob a janela do fundo + nicho de geladeira no canto da cozinha</t>
        </is>
      </c>
    </row>
    <row r="18">
      <c r="A18" s="21" t="inlineStr">
        <is>
          <t>16/07/2026</t>
        </is>
      </c>
      <c r="B18" s="22" t="inlineStr">
        <is>
          <t>Lavanderia/técnica 2,50 → 4,00 m; Luz 1 e Luz 2 4,85 → 4,10 m cada</t>
        </is>
      </c>
      <c r="C18" s="22" t="inlineStr">
        <is>
          <t>Faixa de luz 9,70 → 8,20 m · laje 68 → 70 m² · telha 98 → 100 m² · parede verde 14 → 12 m²</t>
        </is>
      </c>
    </row>
    <row r="19">
      <c r="A19" s="16" t="inlineStr">
        <is>
          <t>16/07/2026</t>
        </is>
      </c>
      <c r="B19" s="17" t="inlineStr">
        <is>
          <t>Banheiro e lavabo do térreo unificados em um só (1,50 × 2,50)</t>
        </is>
      </c>
      <c r="C19" s="17" t="inlineStr">
        <is>
          <t>Cozinha recupera ~1,9 m² · porta única p/ a área gourmet</t>
        </is>
      </c>
    </row>
    <row r="20">
      <c r="A20" s="21" t="inlineStr">
        <is>
          <t>16/07/2026</t>
        </is>
      </c>
      <c r="B20" s="22" t="inlineStr">
        <is>
          <t>Lavabo 1,50 × 1,50 no canto da garagem c/ o corredor (janela p/ o corredor)</t>
        </is>
      </c>
      <c r="C20" s="22" t="inlineStr">
        <is>
          <t>Térreo volta a ter banheiro acessível por dentro</t>
        </is>
      </c>
    </row>
    <row r="21">
      <c r="A21" s="16" t="inlineStr">
        <is>
          <t>16/07/2026</t>
        </is>
      </c>
      <c r="B21" s="17" t="inlineStr">
        <is>
          <t>Divisórias do térreo (lavabo e banheiro) em Lightwall, não Monolev</t>
        </is>
      </c>
      <c r="C21" s="17" t="inlineStr">
        <is>
          <t>Monolev 340 → 320 m² · Lightwall 80 → 100 m² · esgoto de 100 mm obrigatoriamente pelo radier</t>
        </is>
      </c>
    </row>
    <row r="22">
      <c r="A22" s="21" t="inlineStr">
        <is>
          <t>16/07/2026</t>
        </is>
      </c>
      <c r="B22" s="22" t="inlineStr">
        <is>
          <t>Superior: copa desce 1 m; corredor avança 1 m na suíte; porta da suíte na lateral (closet recuado)</t>
        </is>
      </c>
      <c r="C22" s="22" t="inlineStr">
        <is>
          <t>Quarto 3,70 → 4,70 m (10 → 11,8 m²) · suíte 4,50 → 3,50 m · closet passante 1,20 × 2,50 · suíte sem janela na viela (luz pelo vidro da extensão)</t>
        </is>
      </c>
    </row>
    <row r="23">
      <c r="A23" s="16" t="inlineStr">
        <is>
          <t>16/07/2026</t>
        </is>
      </c>
      <c r="B23" s="17" t="inlineStr">
        <is>
          <t>Corredor reto, porta da suíte de frente no fim do corredor (desfeita a porta lateral); parede do closet removida (ficava dupla c/ a do corredor)</t>
        </is>
      </c>
      <c r="C23" s="17" t="inlineStr">
        <is>
          <t>Closet passa de 1,20 → 1,60 m de largura; nicho natural atrás da parede do corredor</t>
        </is>
      </c>
    </row>
    <row r="24">
      <c r="A24" s="21" t="inlineStr">
        <is>
          <t>16/07/2026</t>
        </is>
      </c>
      <c r="B24" s="22" t="inlineStr">
        <is>
          <t>Cobogó em parede flutuante em frente ao janelão da fachada NO (h=3,50, afastado 1,00 m); porta de acesso à Luz 1 removida (a incluir depois); película espelhada restrita ao piso superior</t>
        </is>
      </c>
      <c r="C24" s="22" t="inlineStr">
        <is>
          <t>Câmara de ar ventilada evita transferência de calor para o vidro · térreo do janelão fica com vidro transparente</t>
        </is>
      </c>
    </row>
    <row r="25">
      <c r="A25" s="16" t="inlineStr">
        <is>
          <t>16/07/2026</t>
        </is>
      </c>
      <c r="B25" s="17" t="inlineStr">
        <is>
          <t>Muro de divisa pré-moldado nos 2 lados + fundo (210 m², h=3,00) — frente sem muro (condomínio fechado)</t>
        </is>
      </c>
      <c r="C25" s="17" t="inlineStr">
        <is>
          <t>Etapa 2 (fundação): R$ 45k → R$ 50,5-78,5k · total do projeto R$ 502-793k → R$ 533,5-845,5k</t>
        </is>
      </c>
    </row>
    <row r="26">
      <c r="A26" s="21" t="inlineStr">
        <is>
          <t>16/07/2026</t>
        </is>
      </c>
      <c r="B26" s="22" t="inlineStr">
        <is>
          <t>Cobogó da fachada NO ajustado para h=3,00 (era 3,50) — mesma altura do muro de divisa</t>
        </is>
      </c>
      <c r="C26" s="22" t="inlineStr">
        <is>
          <t>Uniformiza a altura dos elementos verticais externos da casa</t>
        </is>
      </c>
    </row>
    <row r="27">
      <c r="A27" s="16" t="inlineStr">
        <is>
          <t>16/07/2026</t>
        </is>
      </c>
      <c r="B27" s="17" t="inlineStr">
        <is>
          <t>Cobogó estendido até encostar no muro de divisa NE (antes parava ~0,80 m antes)</t>
        </is>
      </c>
      <c r="C27" s="17" t="inlineStr">
        <is>
          <t>Vira estrutura contínua com o muro — 1 ponta apoiada no mourão do muro, só a ponta livre precisa de mourão próprio</t>
        </is>
      </c>
    </row>
    <row r="28">
      <c r="A28" s="21" t="inlineStr">
        <is>
          <t>19/07/2026</t>
        </is>
      </c>
      <c r="B28" s="22" t="inlineStr">
        <is>
          <t>Cantoneira de PVC c/ abas de tela especificada para TODOS os cantos externos e vãos (321 m)</t>
        </is>
      </c>
      <c r="C28" s="22" t="inlineStr">
        <is>
          <t>Padroniza o arremate em Monolev e Lightwall · alumínio descartado em massa cimentícia (corrosão alcalina) · ~R$ 1,6-2,6 mil, dentro da etapa 4</t>
        </is>
      </c>
    </row>
    <row r="29">
      <c r="A29" s="16" t="inlineStr">
        <is>
          <t>19/07/2026</t>
        </is>
      </c>
      <c r="B29" s="17" t="inlineStr">
        <is>
          <t>Auditoria de orientação das folhas: planta e elevações conferidas e coerentes; marcadores NE/SO adicionados nas elevações</t>
        </is>
      </c>
      <c r="C29" s="17" t="inlineStr">
        <is>
          <t>A elevação da rua é espelhada por convenção (NE à esquerda, SO à direita) — agora indicado na própria folha</t>
        </is>
      </c>
    </row>
    <row r="30">
      <c r="A30" s="21" t="inlineStr">
        <is>
          <t>19/07/2026</t>
        </is>
      </c>
      <c r="B30" s="22" t="inlineStr">
        <is>
          <t>Janelão da escada corrigido para 3,20 x 4,70 m (havia 3 valores divergentes: 3,18 na planta, 2,40 na elevação, 2,20 no catálogo)</t>
        </is>
      </c>
      <c r="C30" s="22" t="inlineStr">
        <is>
          <t>Vidro 10,5 -&gt; 15 m² · impacto na etapa 7 (esquadrias)</t>
        </is>
      </c>
    </row>
    <row r="31">
      <c r="A31" s="16" t="inlineStr">
        <is>
          <t>24/07/2026</t>
        </is>
      </c>
      <c r="B31" s="17" t="inlineStr">
        <is>
          <t>Exaustão da ilha: plenum embutido no forro c/ 2 frestas de 30 mm + luz linear integrada; motor inline remoto na área técnica; automação pelo consumo do circuito do Invisacook</t>
        </is>
      </c>
      <c r="C31" s="17" t="inlineStr">
        <is>
          <t>1.100 m³/h @ 200 Pa · duto Ø250 (v=6,2 m/s) · 32-38 dB(A) na cozinha · NOVO PONTO SEM RETORNO: furo Ø250 na laje da técnica (etapa 5)</t>
        </is>
      </c>
    </row>
    <row r="32">
      <c r="A32" s="21" t="inlineStr">
        <is>
          <t>27/07/2026</t>
        </is>
      </c>
      <c r="B32" s="22" t="inlineStr">
        <is>
          <t>Hidrossanitário dimensionado e desenhado (F-11 água, F-12 esgoto, F-13 pluvial/cisterna)</t>
        </is>
      </c>
      <c r="C32" s="22" t="inlineStr">
        <is>
          <t>Esgoto 50 UHC (Ø100 c/ folga de 4×) · caixa de gordura DUPLA · calhas 150×100 · cisterna 5.000 L · 3 folhas novas no caderno (13 no total)</t>
        </is>
      </c>
    </row>
    <row r="33">
      <c r="A33" s="16" t="inlineStr">
        <is>
          <t>27/07/2026</t>
        </is>
      </c>
      <c r="B33" s="17" t="inlineStr">
        <is>
          <t>Reservação potável migra da laje da área técnica para o SOLO, com pressurizador</t>
        </is>
      </c>
      <c r="C33" s="17" t="inlineStr">
        <is>
          <t>Caixa de 1.000 L na técnica = 340 kgf/m² (NBR 6120: 150) · no solo a laje fica em 131 kgf/m² e a autonomia sobe de 33 h para 100 h</t>
        </is>
      </c>
    </row>
    <row r="34">
      <c r="A34" s="21" t="inlineStr">
        <is>
          <t>24/07/2026</t>
        </is>
      </c>
      <c r="B34" s="22" t="inlineStr">
        <is>
          <t>Área técnica passa a ser ABERTA (sem porta, portão-gradil) c/ escada marinheiro na parede da Luz 2</t>
        </is>
      </c>
      <c r="C34" s="22" t="inlineStr">
        <is>
          <t>Garante ar para a bomba de calor (11,5 m³ fechados seriam insuficientes; fabricantes exigem 15-20 m³ ou ventilação permanente) · exige equipamentos IP65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5" customWidth="1" min="4" max="4"/>
    <col width="20" customWidth="1" min="5" max="5"/>
    <col width="74" customWidth="1" min="6" max="6"/>
  </cols>
  <sheetData>
    <row r="1">
      <c r="A1" s="14" t="inlineStr">
        <is>
          <t>CONSOLIDADO POR FORNECEDOR / EMPREITEIRO</t>
        </is>
      </c>
    </row>
    <row r="2">
      <c r="A2" s="28" t="inlineStr">
        <is>
          <t>Uma linha por fornecedor cotado no site — quem fornece o quê, em qual etapa e por quanto.</t>
        </is>
      </c>
    </row>
    <row r="3" ht="26" customHeight="1">
      <c r="A3" s="15" t="inlineStr">
        <is>
          <t>Fornecedor / empreiteiro</t>
        </is>
      </c>
      <c r="B3" s="15" t="inlineStr">
        <is>
          <t>Tipo</t>
        </is>
      </c>
      <c r="C3" s="15" t="inlineStr">
        <is>
          <t>Nº de cotações</t>
        </is>
      </c>
      <c r="D3" s="15" t="inlineStr">
        <is>
          <t>Total cotado</t>
        </is>
      </c>
      <c r="E3" s="15" t="inlineStr">
        <is>
          <t>Etapas envolvidas</t>
        </is>
      </c>
      <c r="F3" s="15" t="inlineStr">
        <is>
          <t>Itens</t>
        </is>
      </c>
    </row>
    <row r="4">
      <c r="A4" s="33" t="inlineStr">
        <is>
          <t>Nenhum fornecedor cotado ainda. Cada cotação lançada no site cria/alimenta uma linha aqui.</t>
        </is>
      </c>
    </row>
  </sheetData>
  <mergeCells count="1"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2026-07-27T03:49:08Z</dcterms:created>
  <dcterms:modified xsi:type="dcterms:W3CDTF">2026-07-27T03:49:09Z</dcterms:modified>
</cp:coreProperties>
</file>