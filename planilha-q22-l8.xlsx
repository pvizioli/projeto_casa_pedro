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01:49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SUM(Cotações!J2:J2)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>Custo real informado</t>
        </is>
      </c>
      <c r="B12" s="8">
        <f>SUM(Etapas!I3:I15)</f>
        <v/>
      </c>
      <c r="C12" s="5" t="inlineStr"/>
      <c r="D12" s="7" t="inlineStr">
        <is>
          <t>digitado na aba Etapas do site</t>
        </is>
      </c>
    </row>
    <row r="13">
      <c r="A13" s="5" t="inlineStr">
        <is>
          <t>Cotações registradas</t>
        </is>
      </c>
      <c r="B13" s="6">
        <f>COUNTA(Cotações!A2:A2)</f>
        <v/>
      </c>
      <c r="C13" s="5" t="inlineStr"/>
      <c r="D13" s="7" t="inlineStr">
        <is>
          <t>cada lançamento = 1 commit no repositório</t>
        </is>
      </c>
    </row>
    <row r="14">
      <c r="A14" s="5" t="inlineStr">
        <is>
          <t>Avanço geral (ponderado por custo)</t>
        </is>
      </c>
      <c r="B14" s="9">
        <f>IFERROR(SUMPRODUCT(Etapas!H3:H15,Etapas!E3:E15)/SUM(Etapas!E3:E15),0)</f>
        <v/>
      </c>
      <c r="C14" s="5" t="inlineStr"/>
      <c r="D14" s="7" t="inlineStr">
        <is>
          <t>ponderado pela média da faixa de cada etapa</t>
        </is>
      </c>
    </row>
    <row r="15">
      <c r="A15" s="5" t="inlineStr">
        <is>
          <t>Etapas concluídas</t>
        </is>
      </c>
      <c r="B15" s="6">
        <f>COUNTIF(Etapas!G3:G15,"concluída")</f>
        <v/>
      </c>
      <c r="C15" s="5" t="inlineStr">
        <is>
          <t>de 13</t>
        </is>
      </c>
      <c r="D15" s="7" t="inlineStr"/>
    </row>
    <row r="17">
      <c r="A17" s="10" t="inlineStr">
        <is>
          <t>SISTEMA CONSTRUTIVO (revisão atual)</t>
        </is>
      </c>
    </row>
    <row r="18" ht="24" customHeight="1">
      <c r="A18" s="11" t="inlineStr">
        <is>
          <t>Paredes estruturais</t>
        </is>
      </c>
      <c r="B18" s="12" t="inlineStr">
        <is>
          <t>Monolev ~340 m² líquidos — perímetro + térreo</t>
        </is>
      </c>
    </row>
    <row r="19" ht="24" customHeight="1">
      <c r="A19" s="11" t="inlineStr">
        <is>
          <t>Divisórias do superior</t>
        </is>
      </c>
      <c r="B19" s="12" t="inlineStr">
        <is>
          <t>Lightwall 2P 90 mm ~80 m² (conceito mezanino: telhado apoia só no perímetro)</t>
        </is>
      </c>
    </row>
    <row r="20" ht="24" customHeight="1">
      <c r="A20" s="11" t="inlineStr">
        <is>
          <t>Lajes</t>
        </is>
      </c>
      <c r="B20" s="12" t="inlineStr">
        <is>
          <t>Vigotas + EPS ~86 m² — SÓ pisos (superior, extensão, técnica). Não há laje de forro.</t>
        </is>
      </c>
    </row>
    <row r="21" ht="24" customHeight="1">
      <c r="A21" s="11" t="inlineStr">
        <is>
          <t>Forro</t>
        </is>
      </c>
      <c r="B21" s="12" t="inlineStr">
        <is>
          <t>Madeira acompanhando o telhado ~45 m² (mezanino + vão duplo) · gesso+EPS nivelado ~47 m² (demais)</t>
        </is>
      </c>
    </row>
    <row r="22" ht="24" customHeight="1">
      <c r="A22" s="11" t="inlineStr">
        <is>
          <t>Cobertura</t>
        </is>
      </c>
      <c r="B22" s="12" t="inlineStr">
        <is>
          <t>3 treliças galvanizadas a fogo @3,25 m (banzos paralelos h=0,40, degrau triangulado) + terças Ue 100 · ~1,0 t</t>
        </is>
      </c>
    </row>
    <row r="23" ht="24" customHeight="1">
      <c r="A23" s="11" t="inlineStr">
        <is>
          <t>Faixa NE</t>
        </is>
      </c>
      <c r="B23" s="12" t="inlineStr">
        <is>
          <t>Área de luz descoberta até a fachada, dividida em 2 por parede cega: Luz 1 = jardim de inverno c/ parede verde e janelão 3,50; Luz 2 = varal/serve a lavanderia</t>
        </is>
      </c>
    </row>
    <row r="24" ht="24" customHeight="1">
      <c r="A24" s="11" t="inlineStr">
        <is>
          <t>Fundação</t>
        </is>
      </c>
      <c r="B24" s="12" t="inlineStr">
        <is>
          <t>Radier ~103 m²</t>
        </is>
      </c>
    </row>
    <row r="27">
      <c r="A27" s="10" t="inlineStr">
        <is>
          <t>COMO USAR</t>
        </is>
      </c>
    </row>
    <row r="28">
      <c r="A28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29"/>
    <row r="30"/>
  </sheetData>
  <mergeCells count="8">
    <mergeCell ref="B19:D19"/>
    <mergeCell ref="B23:D23"/>
    <mergeCell ref="B22:D22"/>
    <mergeCell ref="B18:D18"/>
    <mergeCell ref="A28:D30"/>
    <mergeCell ref="B21:D21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13" customWidth="1" min="4" max="4"/>
    <col width="13" customWidth="1" min="5" max="5"/>
    <col width="9" customWidth="1" min="6" max="6"/>
    <col width="13" customWidth="1" min="7" max="7"/>
    <col width="9" customWidth="1" min="8" max="8"/>
    <col width="13" customWidth="1" min="9" max="9"/>
    <col width="13" customWidth="1" min="10" max="10"/>
    <col width="13" customWidth="1" min="11" max="11"/>
    <col width="52" customWidth="1" min="12" max="12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</t>
        </is>
      </c>
      <c r="K2" s="15" t="inlineStr">
        <is>
          <t>Δ vs. alta</t>
        </is>
      </c>
      <c r="L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20000</v>
      </c>
      <c r="D3" s="18" t="n">
        <v>35000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SUMIFS(Cotações!$J$2:$J$2,Cotações!$F$2:$F$2,$A3)</f>
        <v/>
      </c>
      <c r="K3" s="18">
        <f>IF(J3=0,"",D3-J3)</f>
        <v/>
      </c>
      <c r="L3" s="17" t="inlineStr">
        <is>
          <t>arq., estrutural, complementares, SPT, ART, condomínio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SUMIFS(Cotações!$J$2:$J$2,Cotações!$F$2:$F$2,$A4)</f>
        <v/>
      </c>
      <c r="K4" s="23">
        <f>IF(J4=0,"",D4-J4)</f>
        <v/>
      </c>
      <c r="L4" s="22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SUMIFS(Cotações!$J$2:$J$2,Cotações!$F$2:$F$2,$A5)</f>
        <v/>
      </c>
      <c r="K5" s="18">
        <f>IF(J5=0,"",D5-J5)</f>
        <v/>
      </c>
      <c r="L5" s="17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SUMIFS(Cotações!$J$2:$J$2,Cotações!$F$2:$F$2,$A6)</f>
        <v/>
      </c>
      <c r="K6" s="23">
        <f>IF(J6=0,"",D6-J6)</f>
        <v/>
      </c>
      <c r="L6" s="22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SUMIFS(Cotações!$J$2:$J$2,Cotações!$F$2:$F$2,$A7)</f>
        <v/>
      </c>
      <c r="K7" s="18">
        <f>IF(J7=0,"",D7-J7)</f>
        <v/>
      </c>
      <c r="L7" s="17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SUMIFS(Cotações!$J$2:$J$2,Cotações!$F$2:$F$2,$A8)</f>
        <v/>
      </c>
      <c r="K8" s="23">
        <f>IF(J8=0,"",D8-J8)</f>
        <v/>
      </c>
      <c r="L8" s="22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SUMIFS(Cotações!$J$2:$J$2,Cotações!$F$2:$F$2,$A9)</f>
        <v/>
      </c>
      <c r="K9" s="18">
        <f>IF(J9=0,"",D9-J9)</f>
        <v/>
      </c>
      <c r="L9" s="17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SUMIFS(Cotações!$J$2:$J$2,Cotações!$F$2:$F$2,$A10)</f>
        <v/>
      </c>
      <c r="K10" s="23">
        <f>IF(J10=0,"",D10-J10)</f>
        <v/>
      </c>
      <c r="L10" s="22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SUMIFS(Cotações!$J$2:$J$2,Cotações!$F$2:$F$2,$A11)</f>
        <v/>
      </c>
      <c r="K11" s="18">
        <f>IF(J11=0,"",D11-J11)</f>
        <v/>
      </c>
      <c r="L11" s="17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SUMIFS(Cotações!$J$2:$J$2,Cotações!$F$2:$F$2,$A12)</f>
        <v/>
      </c>
      <c r="K12" s="23">
        <f>IF(J12=0,"",D12-J12)</f>
        <v/>
      </c>
      <c r="L12" s="22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SUMIFS(Cotações!$J$2:$J$2,Cotações!$F$2:$F$2,$A13)</f>
        <v/>
      </c>
      <c r="K13" s="18">
        <f>IF(J13=0,"",D13-J13)</f>
        <v/>
      </c>
      <c r="L13" s="17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SUMIFS(Cotações!$J$2:$J$2,Cotações!$F$2:$F$2,$A14)</f>
        <v/>
      </c>
      <c r="K14" s="23">
        <f>IF(J14=0,"",D14-J14)</f>
        <v/>
      </c>
      <c r="L14" s="22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SUMIFS(Cotações!$J$2:$J$2,Cotações!$F$2:$F$2,$A15)</f>
        <v/>
      </c>
      <c r="K15" s="18">
        <f>IF(J15=0,"",D15-J15)</f>
        <v/>
      </c>
      <c r="L15" s="17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42" customWidth="1" min="3" max="3"/>
    <col width="46" customWidth="1" min="4" max="4"/>
    <col width="6" customWidth="1" min="5" max="5"/>
    <col width="9" customWidth="1" min="6" max="6"/>
    <col width="10" customWidth="1" min="7" max="7"/>
    <col width="14" customWidth="1" min="8" max="8"/>
    <col width="14" customWidth="1" min="9" max="9"/>
    <col width="52" customWidth="1" min="10" max="10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Item</t>
        </is>
      </c>
      <c r="D3" s="15" t="inlineStr">
        <is>
          <t>Especificação</t>
        </is>
      </c>
      <c r="E3" s="15" t="inlineStr">
        <is>
          <t>Un</t>
        </is>
      </c>
      <c r="F3" s="15" t="inlineStr">
        <is>
          <t>Qtde</t>
        </is>
      </c>
      <c r="G3" s="15" t="inlineStr">
        <is>
          <t>Nº cotações</t>
        </is>
      </c>
      <c r="H3" s="15" t="inlineStr">
        <is>
          <t>Melhor preço unit.</t>
        </is>
      </c>
      <c r="I3" s="15" t="inlineStr">
        <is>
          <t>Melhor total</t>
        </is>
      </c>
      <c r="J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Painéis EPS (Monolev) — parede líquida ESTRUTURAL (perímetro + térreo)</t>
        </is>
      </c>
      <c r="D4" s="22" t="inlineStr"/>
      <c r="E4" s="21" t="inlineStr">
        <is>
          <t>m²</t>
        </is>
      </c>
      <c r="F4" s="29" t="n">
        <v>340</v>
      </c>
      <c r="G4" s="21">
        <f>COUNTIFS(Cotações!$D$2:$D$2,$A4)</f>
        <v/>
      </c>
      <c r="H4" s="30">
        <f>IF(G4=0,"—",_xlfn.MINIFS(Cotações!$I$2:$I$2,Cotações!$D$2:$D$2,$A4))</f>
        <v/>
      </c>
      <c r="I4" s="24">
        <f>IF(G4=0,"—",IFERROR(H4*F4,""))</f>
        <v/>
      </c>
      <c r="J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Argamassa projetada estrutural (2 faces)</t>
        </is>
      </c>
      <c r="D5" s="17" t="inlineStr"/>
      <c r="E5" s="16" t="inlineStr">
        <is>
          <t>m²</t>
        </is>
      </c>
      <c r="F5" s="31" t="n">
        <v>680</v>
      </c>
      <c r="G5" s="16">
        <f>COUNTIFS(Cotações!$D$2:$D$2,$A5)</f>
        <v/>
      </c>
      <c r="H5" s="32">
        <f>IF(G5=0,"—",_xlfn.MINIFS(Cotações!$I$2:$I$2,Cotações!$D$2:$D$2,$A5))</f>
        <v/>
      </c>
      <c r="I5" s="19">
        <f>IF(G5=0,"—",IFERROR(H5*F5,""))</f>
        <v/>
      </c>
      <c r="J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Telas/acessórios de reforço (cantos, vãos)</t>
        </is>
      </c>
      <c r="D6" s="22" t="inlineStr"/>
      <c r="E6" s="21" t="inlineStr">
        <is>
          <t>vb</t>
        </is>
      </c>
      <c r="F6" s="29" t="n">
        <v>1</v>
      </c>
      <c r="G6" s="21">
        <f>COUNTIFS(Cotações!$D$2:$D$2,$A6)</f>
        <v/>
      </c>
      <c r="H6" s="30">
        <f>IF(G6=0,"—",_xlfn.MINIFS(Cotações!$I$2:$I$2,Cotações!$D$2:$D$2,$A6))</f>
        <v/>
      </c>
      <c r="I6" s="24">
        <f>IF(G6=0,"—",IFERROR(H6*F6,""))</f>
        <v/>
      </c>
      <c r="J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Laje vigotas + EPS — PISO do superior + técnica (estrutural)</t>
        </is>
      </c>
      <c r="D7" s="17" t="inlineStr"/>
      <c r="E7" s="16" t="inlineStr">
        <is>
          <t>m²</t>
        </is>
      </c>
      <c r="F7" s="31" t="n">
        <v>68</v>
      </c>
      <c r="G7" s="16">
        <f>COUNTIFS(Cotações!$D$2:$D$2,$A7)</f>
        <v/>
      </c>
      <c r="H7" s="32">
        <f>IF(G7=0,"—",_xlfn.MINIFS(Cotações!$I$2:$I$2,Cotações!$D$2:$D$2,$A7))</f>
        <v/>
      </c>
      <c r="I7" s="19">
        <f>IF(G7=0,"—",IFERROR(H7*F7,""))</f>
        <v/>
      </c>
      <c r="J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Radier (fundação)</t>
        </is>
      </c>
      <c r="D8" s="22" t="inlineStr"/>
      <c r="E8" s="21" t="inlineStr">
        <is>
          <t>m²</t>
        </is>
      </c>
      <c r="F8" s="29" t="n">
        <v>103</v>
      </c>
      <c r="G8" s="21">
        <f>COUNTIFS(Cotações!$D$2:$D$2,$A8)</f>
        <v/>
      </c>
      <c r="H8" s="30">
        <f>IF(G8=0,"—",_xlfn.MINIFS(Cotações!$I$2:$I$2,Cotações!$D$2:$D$2,$A8))</f>
        <v/>
      </c>
      <c r="I8" s="24">
        <f>IF(G8=0,"—",IFERROR(H8*F8,""))</f>
        <v/>
      </c>
      <c r="J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Vigas metálicas: testada da laje (7,30 livre, SEM pilar) + balanço da sacada 2,50</t>
        </is>
      </c>
      <c r="D9" s="17" t="inlineStr"/>
      <c r="E9" s="16" t="inlineStr">
        <is>
          <t>vb</t>
        </is>
      </c>
      <c r="F9" s="31" t="n">
        <v>1</v>
      </c>
      <c r="G9" s="16">
        <f>COUNTIFS(Cotações!$D$2:$D$2,$A9)</f>
        <v/>
      </c>
      <c r="H9" s="32">
        <f>IF(G9=0,"—",_xlfn.MINIFS(Cotações!$I$2:$I$2,Cotações!$D$2:$D$2,$A9))</f>
        <v/>
      </c>
      <c r="I9" s="19">
        <f>IF(G9=0,"—",IFERROR(H9*F9,""))</f>
        <v/>
      </c>
      <c r="J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Estrutura metálica da cobertura — 3 treliças galvanizadas a fogo + terças/contrav. Z275</t>
        </is>
      </c>
      <c r="D10" s="22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E10" s="21" t="inlineStr">
        <is>
          <t>m²</t>
        </is>
      </c>
      <c r="F10" s="29" t="n">
        <v>95</v>
      </c>
      <c r="G10" s="21">
        <f>COUNTIFS(Cotações!$D$2:$D$2,$A10)</f>
        <v/>
      </c>
      <c r="H10" s="30">
        <f>IF(G10=0,"—",_xlfn.MINIFS(Cotações!$I$2:$I$2,Cotações!$D$2:$D$2,$A10))</f>
        <v/>
      </c>
      <c r="I10" s="24">
        <f>IF(G10=0,"—",IFERROR(H10*F10,""))</f>
        <v/>
      </c>
      <c r="J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Telha sanduíche EPS</t>
        </is>
      </c>
      <c r="D11" s="17" t="inlineStr"/>
      <c r="E11" s="16" t="inlineStr">
        <is>
          <t>m²</t>
        </is>
      </c>
      <c r="F11" s="31" t="n">
        <v>98</v>
      </c>
      <c r="G11" s="16">
        <f>COUNTIFS(Cotações!$D$2:$D$2,$A11)</f>
        <v/>
      </c>
      <c r="H11" s="32">
        <f>IF(G11=0,"—",_xlfn.MINIFS(Cotações!$I$2:$I$2,Cotações!$D$2:$D$2,$A11))</f>
        <v/>
      </c>
      <c r="I11" s="19">
        <f>IF(G11=0,"—",IFERROR(H11*F11,""))</f>
        <v/>
      </c>
      <c r="J11" s="16" t="inlineStr">
        <is>
          <t>não cobre a faixa de luz (9,70 × 1,20 descoberta)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Lanternim — vidro laminado/policarbonato + básculas</t>
        </is>
      </c>
      <c r="D12" s="22" t="inlineStr"/>
      <c r="E12" s="21" t="inlineStr">
        <is>
          <t>m²</t>
        </is>
      </c>
      <c r="F12" s="29" t="n">
        <v>12</v>
      </c>
      <c r="G12" s="21">
        <f>COUNTIFS(Cotações!$D$2:$D$2,$A12)</f>
        <v/>
      </c>
      <c r="H12" s="30">
        <f>IF(G12=0,"—",_xlfn.MINIFS(Cotações!$I$2:$I$2,Cotações!$D$2:$D$2,$A12))</f>
        <v/>
      </c>
      <c r="I12" s="24">
        <f>IF(G12=0,"—",IFERROR(H12*F12,""))</f>
        <v/>
      </c>
      <c r="J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Rufos, calhas e arremates do lanternim</t>
        </is>
      </c>
      <c r="D13" s="17" t="inlineStr"/>
      <c r="E13" s="16" t="inlineStr">
        <is>
          <t>vb</t>
        </is>
      </c>
      <c r="F13" s="31" t="n">
        <v>1</v>
      </c>
      <c r="G13" s="16">
        <f>COUNTIFS(Cotações!$D$2:$D$2,$A13)</f>
        <v/>
      </c>
      <c r="H13" s="32">
        <f>IF(G13=0,"—",_xlfn.MINIFS(Cotações!$I$2:$I$2,Cotações!$D$2:$D$2,$A13))</f>
        <v/>
      </c>
      <c r="I13" s="19">
        <f>IF(G13=0,"—",IFERROR(H13*F13,""))</f>
        <v/>
      </c>
      <c r="J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Guarda-corpos (mezanino, corredor, escada)</t>
        </is>
      </c>
      <c r="D14" s="22" t="inlineStr"/>
      <c r="E14" s="21" t="inlineStr">
        <is>
          <t>m</t>
        </is>
      </c>
      <c r="F14" s="29" t="n">
        <v>14</v>
      </c>
      <c r="G14" s="21">
        <f>COUNTIFS(Cotações!$D$2:$D$2,$A14)</f>
        <v/>
      </c>
      <c r="H14" s="30">
        <f>IF(G14=0,"—",_xlfn.MINIFS(Cotações!$I$2:$I$2,Cotações!$D$2:$D$2,$A14))</f>
        <v/>
      </c>
      <c r="I14" s="24">
        <f>IF(G14=0,"—",IFERROR(H14*F14,""))</f>
        <v/>
      </c>
      <c r="J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Escada metálica aberta (fachada norte)</t>
        </is>
      </c>
      <c r="D15" s="17" t="inlineStr"/>
      <c r="E15" s="16" t="inlineStr">
        <is>
          <t>vb</t>
        </is>
      </c>
      <c r="F15" s="31" t="n">
        <v>1</v>
      </c>
      <c r="G15" s="16">
        <f>COUNTIFS(Cotações!$D$2:$D$2,$A15)</f>
        <v/>
      </c>
      <c r="H15" s="32">
        <f>IF(G15=0,"—",_xlfn.MINIFS(Cotações!$I$2:$I$2,Cotações!$D$2:$D$2,$A15))</f>
        <v/>
      </c>
      <c r="I15" s="19">
        <f>IF(G15=0,"—",IFERROR(H15*F15,""))</f>
        <v/>
      </c>
      <c r="J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Esquadrias (janelas, porta balcão, portas)</t>
        </is>
      </c>
      <c r="D16" s="22" t="inlineStr"/>
      <c r="E16" s="21" t="inlineStr">
        <is>
          <t>vb</t>
        </is>
      </c>
      <c r="F16" s="29" t="n">
        <v>1</v>
      </c>
      <c r="G16" s="21">
        <f>COUNTIFS(Cotações!$D$2:$D$2,$A16)</f>
        <v/>
      </c>
      <c r="H16" s="30">
        <f>IF(G16=0,"—",_xlfn.MINIFS(Cotações!$I$2:$I$2,Cotações!$D$2:$D$2,$A16))</f>
        <v/>
      </c>
      <c r="I16" s="24">
        <f>IF(G16=0,"—",IFERROR(H16*F16,""))</f>
        <v/>
      </c>
      <c r="J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Elétrica + automação — ver aba Elétrica</t>
        </is>
      </c>
      <c r="D17" s="17" t="inlineStr"/>
      <c r="E17" s="16" t="inlineStr">
        <is>
          <t>vb</t>
        </is>
      </c>
      <c r="F17" s="31" t="n">
        <v>1</v>
      </c>
      <c r="G17" s="16">
        <f>COUNTIFS(Cotações!$D$2:$D$2,$A17)</f>
        <v/>
      </c>
      <c r="H17" s="32">
        <f>IF(G17=0,"—",_xlfn.MINIFS(Cotações!$I$2:$I$2,Cotações!$D$2:$D$2,$A17))</f>
        <v/>
      </c>
      <c r="I17" s="19">
        <f>IF(G17=0,"—",IFERROR(H17*F17,""))</f>
        <v/>
      </c>
      <c r="J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Impermeabilizações (banheiros, laje técnica)</t>
        </is>
      </c>
      <c r="D18" s="22" t="inlineStr"/>
      <c r="E18" s="21" t="inlineStr">
        <is>
          <t>vb</t>
        </is>
      </c>
      <c r="F18" s="29" t="n">
        <v>1</v>
      </c>
      <c r="G18" s="21">
        <f>COUNTIFS(Cotações!$D$2:$D$2,$A18)</f>
        <v/>
      </c>
      <c r="H18" s="30">
        <f>IF(G18=0,"—",_xlfn.MINIFS(Cotações!$I$2:$I$2,Cotações!$D$2:$D$2,$A18))</f>
        <v/>
      </c>
      <c r="I18" s="24">
        <f>IF(G18=0,"—",IFERROR(H18*F18,""))</f>
        <v/>
      </c>
      <c r="J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Hidráulica completa + preparação PV</t>
        </is>
      </c>
      <c r="D19" s="17" t="inlineStr"/>
      <c r="E19" s="16" t="inlineStr">
        <is>
          <t>vb</t>
        </is>
      </c>
      <c r="F19" s="31" t="n">
        <v>1</v>
      </c>
      <c r="G19" s="16">
        <f>COUNTIFS(Cotações!$D$2:$D$2,$A19)</f>
        <v/>
      </c>
      <c r="H19" s="32">
        <f>IF(G19=0,"—",_xlfn.MINIFS(Cotações!$I$2:$I$2,Cotações!$D$2:$D$2,$A19))</f>
        <v/>
      </c>
      <c r="I19" s="19">
        <f>IF(G19=0,"—",IFERROR(H19*F19,""))</f>
        <v/>
      </c>
      <c r="J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Sondagem SPT (2–3 furos) + projetos complementares</t>
        </is>
      </c>
      <c r="D20" s="22" t="inlineStr"/>
      <c r="E20" s="21" t="inlineStr">
        <is>
          <t>vb</t>
        </is>
      </c>
      <c r="F20" s="29" t="n">
        <v>1</v>
      </c>
      <c r="G20" s="21">
        <f>COUNTIFS(Cotações!$D$2:$D$2,$A20)</f>
        <v/>
      </c>
      <c r="H20" s="30">
        <f>IF(G20=0,"—",_xlfn.MINIFS(Cotações!$I$2:$I$2,Cotações!$D$2:$D$2,$A20))</f>
        <v/>
      </c>
      <c r="I20" s="24">
        <f>IF(G20=0,"—",IFERROR(H20*F20,""))</f>
        <v/>
      </c>
      <c r="J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Climatização — ver aba Climatização</t>
        </is>
      </c>
      <c r="D21" s="17" t="inlineStr"/>
      <c r="E21" s="16" t="inlineStr">
        <is>
          <t>vb</t>
        </is>
      </c>
      <c r="F21" s="31" t="n">
        <v>1</v>
      </c>
      <c r="G21" s="16">
        <f>COUNTIFS(Cotações!$D$2:$D$2,$A21)</f>
        <v/>
      </c>
      <c r="H21" s="32">
        <f>IF(G21=0,"—",_xlfn.MINIFS(Cotações!$I$2:$I$2,Cotações!$D$2:$D$2,$A21))</f>
        <v/>
      </c>
      <c r="I21" s="19">
        <f>IF(G21=0,"—",IFERROR(H21*F21,""))</f>
        <v/>
      </c>
      <c r="J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Laje da sacada/varanda (vigotas + EPS + capa)</t>
        </is>
      </c>
      <c r="D22" s="22" t="inlineStr"/>
      <c r="E22" s="21" t="inlineStr">
        <is>
          <t>m²</t>
        </is>
      </c>
      <c r="F22" s="29" t="n">
        <v>18</v>
      </c>
      <c r="G22" s="21">
        <f>COUNTIFS(Cotações!$D$2:$D$2,$A22)</f>
        <v/>
      </c>
      <c r="H22" s="30">
        <f>IF(G22=0,"—",_xlfn.MINIFS(Cotações!$I$2:$I$2,Cotações!$D$2:$D$2,$A22))</f>
        <v/>
      </c>
      <c r="I22" s="24">
        <f>IF(G22=0,"—",IFERROR(H22*F22,""))</f>
        <v/>
      </c>
      <c r="J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Impermeabilização do piso da extensão (sobre varanda aberta)</t>
        </is>
      </c>
      <c r="D23" s="17" t="inlineStr"/>
      <c r="E23" s="16" t="inlineStr">
        <is>
          <t>m²</t>
        </is>
      </c>
      <c r="F23" s="31" t="n">
        <v>18</v>
      </c>
      <c r="G23" s="16">
        <f>COUNTIFS(Cotações!$D$2:$D$2,$A23)</f>
        <v/>
      </c>
      <c r="H23" s="32">
        <f>IF(G23=0,"—",_xlfn.MINIFS(Cotações!$I$2:$I$2,Cotações!$D$2:$D$2,$A23))</f>
        <v/>
      </c>
      <c r="I23" s="19">
        <f>IF(G23=0,"—",IFERROR(H23*F23,""))</f>
        <v/>
      </c>
      <c r="J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Mureta + envidraçamento da extensão da suíte (vidro até o forro)</t>
        </is>
      </c>
      <c r="D24" s="22" t="inlineStr"/>
      <c r="E24" s="21" t="inlineStr">
        <is>
          <t>m²</t>
        </is>
      </c>
      <c r="F24" s="29" t="n">
        <v>21</v>
      </c>
      <c r="G24" s="21">
        <f>COUNTIFS(Cotações!$D$2:$D$2,$A24)</f>
        <v/>
      </c>
      <c r="H24" s="30">
        <f>IF(G24=0,"—",_xlfn.MINIFS(Cotações!$I$2:$I$2,Cotações!$D$2:$D$2,$A24))</f>
        <v/>
      </c>
      <c r="I24" s="24">
        <f>IF(G24=0,"—",IFERROR(H24*F24,""))</f>
        <v/>
      </c>
      <c r="J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Forro da extensão da suíte (esconde o V do telhado)</t>
        </is>
      </c>
      <c r="D25" s="17" t="inlineStr"/>
      <c r="E25" s="16" t="inlineStr">
        <is>
          <t>m²</t>
        </is>
      </c>
      <c r="F25" s="31" t="n">
        <v>18</v>
      </c>
      <c r="G25" s="16">
        <f>COUNTIFS(Cotações!$D$2:$D$2,$A25)</f>
        <v/>
      </c>
      <c r="H25" s="32">
        <f>IF(G25=0,"—",_xlfn.MINIFS(Cotações!$I$2:$I$2,Cotações!$D$2:$D$2,$A25))</f>
        <v/>
      </c>
      <c r="I25" s="19">
        <f>IF(G25=0,"—",IFERROR(H25*F25,""))</f>
        <v/>
      </c>
      <c r="J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Churrasqueira + chaminé acima da cobertura</t>
        </is>
      </c>
      <c r="D26" s="22" t="inlineStr"/>
      <c r="E26" s="21" t="inlineStr">
        <is>
          <t>vb</t>
        </is>
      </c>
      <c r="F26" s="29" t="n">
        <v>1</v>
      </c>
      <c r="G26" s="21">
        <f>COUNTIFS(Cotações!$D$2:$D$2,$A26)</f>
        <v/>
      </c>
      <c r="H26" s="30">
        <f>IF(G26=0,"—",_xlfn.MINIFS(Cotações!$I$2:$I$2,Cotações!$D$2:$D$2,$A26))</f>
        <v/>
      </c>
      <c r="I26" s="24">
        <f>IF(G26=0,"—",IFERROR(H26*F26,""))</f>
        <v/>
      </c>
      <c r="J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Cooktop a gás externo + abrigo P13 + kit instalação</t>
        </is>
      </c>
      <c r="D27" s="17" t="inlineStr"/>
      <c r="E27" s="16" t="inlineStr">
        <is>
          <t>vb</t>
        </is>
      </c>
      <c r="F27" s="31" t="n">
        <v>1</v>
      </c>
      <c r="G27" s="16">
        <f>COUNTIFS(Cotações!$D$2:$D$2,$A27)</f>
        <v/>
      </c>
      <c r="H27" s="32">
        <f>IF(G27=0,"—",_xlfn.MINIFS(Cotações!$I$2:$I$2,Cotações!$D$2:$D$2,$A27))</f>
        <v/>
      </c>
      <c r="I27" s="19">
        <f>IF(G27=0,"—",IFERROR(H27*F27,""))</f>
        <v/>
      </c>
      <c r="J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Bancada ilha: porcelanato sinterizado 12 mm + rebaixo italiano</t>
        </is>
      </c>
      <c r="D28" s="22" t="inlineStr"/>
      <c r="E28" s="21" t="inlineStr">
        <is>
          <t>m²</t>
        </is>
      </c>
      <c r="F28" s="29" t="n">
        <v>5</v>
      </c>
      <c r="G28" s="21">
        <f>COUNTIFS(Cotações!$D$2:$D$2,$A28)</f>
        <v/>
      </c>
      <c r="H28" s="30">
        <f>IF(G28=0,"—",_xlfn.MINIFS(Cotações!$I$2:$I$2,Cotações!$D$2:$D$2,$A28))</f>
        <v/>
      </c>
      <c r="I28" s="24">
        <f>IF(G28=0,"—",IFERROR(H28*F28,""))</f>
        <v/>
      </c>
      <c r="J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Invisacook 4 zonas + acessórios (mantas, indicadores)</t>
        </is>
      </c>
      <c r="D29" s="17" t="inlineStr"/>
      <c r="E29" s="16" t="inlineStr">
        <is>
          <t>un</t>
        </is>
      </c>
      <c r="F29" s="31" t="n">
        <v>1</v>
      </c>
      <c r="G29" s="16">
        <f>COUNTIFS(Cotações!$D$2:$D$2,$A29)</f>
        <v/>
      </c>
      <c r="H29" s="32">
        <f>IF(G29=0,"—",_xlfn.MINIFS(Cotações!$I$2:$I$2,Cotações!$D$2:$D$2,$A29))</f>
        <v/>
      </c>
      <c r="I29" s="19">
        <f>IF(G29=0,"—",IFERROR(H29*F29,""))</f>
        <v/>
      </c>
      <c r="J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Janelão vertical fachada noroeste (vidro laminado) + película espelhada</t>
        </is>
      </c>
      <c r="D30" s="22" t="inlineStr"/>
      <c r="E30" s="21" t="inlineStr">
        <is>
          <t>m²</t>
        </is>
      </c>
      <c r="F30" s="29" t="n">
        <v>10.5</v>
      </c>
      <c r="G30" s="21">
        <f>COUNTIFS(Cotações!$D$2:$D$2,$A30)</f>
        <v/>
      </c>
      <c r="H30" s="30">
        <f>IF(G30=0,"—",_xlfn.MINIFS(Cotações!$I$2:$I$2,Cotações!$D$2:$D$2,$A30))</f>
        <v/>
      </c>
      <c r="I30" s="24">
        <f>IF(G30=0,"—",IFERROR(H30*F30,""))</f>
        <v/>
      </c>
      <c r="J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Tubo PEX 20 mm (água quente)</t>
        </is>
      </c>
      <c r="D31" s="17" t="inlineStr">
        <is>
          <t>PEX-A c/ barreira anti-O₂</t>
        </is>
      </c>
      <c r="E31" s="16" t="inlineStr">
        <is>
          <t>m</t>
        </is>
      </c>
      <c r="F31" s="31" t="n">
        <v>75</v>
      </c>
      <c r="G31" s="16">
        <f>COUNTIFS(Cotações!$D$2:$D$2,$A31)</f>
        <v/>
      </c>
      <c r="H31" s="32">
        <f>IF(G31=0,"—",_xlfn.MINIFS(Cotações!$I$2:$I$2,Cotações!$D$2:$D$2,$A31))</f>
        <v/>
      </c>
      <c r="I31" s="19">
        <f>IF(G31=0,"—",IFERROR(H31*F31,""))</f>
        <v/>
      </c>
      <c r="J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Isolamento térmico p/ PEX 20 mm</t>
        </is>
      </c>
      <c r="D32" s="22" t="inlineStr">
        <is>
          <t>polietileno exp. 10 mm parede</t>
        </is>
      </c>
      <c r="E32" s="21" t="inlineStr">
        <is>
          <t>m</t>
        </is>
      </c>
      <c r="F32" s="29" t="n">
        <v>75</v>
      </c>
      <c r="G32" s="21">
        <f>COUNTIFS(Cotações!$D$2:$D$2,$A32)</f>
        <v/>
      </c>
      <c r="H32" s="30">
        <f>IF(G32=0,"—",_xlfn.MINIFS(Cotações!$I$2:$I$2,Cotações!$D$2:$D$2,$A32))</f>
        <v/>
      </c>
      <c r="I32" s="24">
        <f>IF(G32=0,"—",IFERROR(H32*F32,""))</f>
        <v/>
      </c>
      <c r="J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Tubo PEX 16/20 mm (água fria)</t>
        </is>
      </c>
      <c r="D33" s="17" t="inlineStr">
        <is>
          <t>PEX-A</t>
        </is>
      </c>
      <c r="E33" s="16" t="inlineStr">
        <is>
          <t>m</t>
        </is>
      </c>
      <c r="F33" s="31" t="n">
        <v>100</v>
      </c>
      <c r="G33" s="16">
        <f>COUNTIFS(Cotações!$D$2:$D$2,$A33)</f>
        <v/>
      </c>
      <c r="H33" s="32">
        <f>IF(G33=0,"—",_xlfn.MINIFS(Cotações!$I$2:$I$2,Cotações!$D$2:$D$2,$A33))</f>
        <v/>
      </c>
      <c r="I33" s="19">
        <f>IF(G33=0,"—",IFERROR(H33*F33,""))</f>
        <v/>
      </c>
      <c r="J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Tubo PPR PN25 32 mm</t>
        </is>
      </c>
      <c r="D34" s="22" t="inlineStr">
        <is>
          <t>barrilete caixa→pressurizador→manifolds/boiler</t>
        </is>
      </c>
      <c r="E34" s="21" t="inlineStr">
        <is>
          <t>m</t>
        </is>
      </c>
      <c r="F34" s="29" t="n">
        <v>18</v>
      </c>
      <c r="G34" s="21">
        <f>COUNTIFS(Cotações!$D$2:$D$2,$A34)</f>
        <v/>
      </c>
      <c r="H34" s="30">
        <f>IF(G34=0,"—",_xlfn.MINIFS(Cotações!$I$2:$I$2,Cotações!$D$2:$D$2,$A34))</f>
        <v/>
      </c>
      <c r="I34" s="24">
        <f>IF(G34=0,"—",IFERROR(H34*F34,""))</f>
        <v/>
      </c>
      <c r="J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Tubo PPR PN25 28 mm</t>
        </is>
      </c>
      <c r="D35" s="17" t="inlineStr">
        <is>
          <t>circuito bomba de calor ↔ boiler</t>
        </is>
      </c>
      <c r="E35" s="16" t="inlineStr">
        <is>
          <t>m</t>
        </is>
      </c>
      <c r="F35" s="31" t="n">
        <v>8</v>
      </c>
      <c r="G35" s="16">
        <f>COUNTIFS(Cotações!$D$2:$D$2,$A35)</f>
        <v/>
      </c>
      <c r="H35" s="32">
        <f>IF(G35=0,"—",_xlfn.MINIFS(Cotações!$I$2:$I$2,Cotações!$D$2:$D$2,$A35))</f>
        <v/>
      </c>
      <c r="I35" s="19">
        <f>IF(G35=0,"—",IFERROR(H35*F35,""))</f>
        <v/>
      </c>
      <c r="J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Isolamento p/ PPR 28/32 mm</t>
        </is>
      </c>
      <c r="D36" s="22" t="inlineStr">
        <is>
          <t>polietileno exp.</t>
        </is>
      </c>
      <c r="E36" s="21" t="inlineStr">
        <is>
          <t>m</t>
        </is>
      </c>
      <c r="F36" s="29" t="n">
        <v>26</v>
      </c>
      <c r="G36" s="21">
        <f>COUNTIFS(Cotações!$D$2:$D$2,$A36)</f>
        <v/>
      </c>
      <c r="H36" s="30">
        <f>IF(G36=0,"—",_xlfn.MINIFS(Cotações!$I$2:$I$2,Cotações!$D$2:$D$2,$A36))</f>
        <v/>
      </c>
      <c r="I36" s="24">
        <f>IF(G36=0,"—",IFERROR(H36*F36,""))</f>
        <v/>
      </c>
      <c r="J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Tubo PVC soldável 25 mm</t>
        </is>
      </c>
      <c r="D37" s="17" t="inlineStr">
        <is>
          <t>alimentação da caixa + torneiras jardim/garagem</t>
        </is>
      </c>
      <c r="E37" s="16" t="inlineStr">
        <is>
          <t>m</t>
        </is>
      </c>
      <c r="F37" s="31" t="n">
        <v>20</v>
      </c>
      <c r="G37" s="16">
        <f>COUNTIFS(Cotações!$D$2:$D$2,$A37)</f>
        <v/>
      </c>
      <c r="H37" s="32">
        <f>IF(G37=0,"—",_xlfn.MINIFS(Cotações!$I$2:$I$2,Cotações!$D$2:$D$2,$A37))</f>
        <v/>
      </c>
      <c r="I37" s="19">
        <f>IF(G37=0,"—",IFERROR(H37*F37,""))</f>
        <v/>
      </c>
      <c r="J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Tubo PVC esgoto 100 mm</t>
        </is>
      </c>
      <c r="D38" s="22" t="inlineStr">
        <is>
          <t>prumadas de vasos + ventilação</t>
        </is>
      </c>
      <c r="E38" s="21" t="inlineStr">
        <is>
          <t>m</t>
        </is>
      </c>
      <c r="F38" s="29" t="n">
        <v>22</v>
      </c>
      <c r="G38" s="21">
        <f>COUNTIFS(Cotações!$D$2:$D$2,$A38)</f>
        <v/>
      </c>
      <c r="H38" s="30">
        <f>IF(G38=0,"—",_xlfn.MINIFS(Cotações!$I$2:$I$2,Cotações!$D$2:$D$2,$A38))</f>
        <v/>
      </c>
      <c r="I38" s="24">
        <f>IF(G38=0,"—",IFERROR(H38*F38,""))</f>
        <v/>
      </c>
      <c r="J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Tubo PVC esgoto 50 mm</t>
        </is>
      </c>
      <c r="D39" s="17" t="inlineStr">
        <is>
          <t>chuveiros, ralos, tanque, máquina</t>
        </is>
      </c>
      <c r="E39" s="16" t="inlineStr">
        <is>
          <t>m</t>
        </is>
      </c>
      <c r="F39" s="31" t="n">
        <v>25</v>
      </c>
      <c r="G39" s="16">
        <f>COUNTIFS(Cotações!$D$2:$D$2,$A39)</f>
        <v/>
      </c>
      <c r="H39" s="32">
        <f>IF(G39=0,"—",_xlfn.MINIFS(Cotações!$I$2:$I$2,Cotações!$D$2:$D$2,$A39))</f>
        <v/>
      </c>
      <c r="I39" s="19">
        <f>IF(G39=0,"—",IFERROR(H39*F39,""))</f>
        <v/>
      </c>
      <c r="J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Tubo PVC esgoto 40 mm</t>
        </is>
      </c>
      <c r="D40" s="22" t="inlineStr">
        <is>
          <t>lavatórios, pias, dreno boiler/copa</t>
        </is>
      </c>
      <c r="E40" s="21" t="inlineStr">
        <is>
          <t>m</t>
        </is>
      </c>
      <c r="F40" s="29" t="n">
        <v>15</v>
      </c>
      <c r="G40" s="21">
        <f>COUNTIFS(Cotações!$D$2:$D$2,$A40)</f>
        <v/>
      </c>
      <c r="H40" s="30">
        <f>IF(G40=0,"—",_xlfn.MINIFS(Cotações!$I$2:$I$2,Cotações!$D$2:$D$2,$A40))</f>
        <v/>
      </c>
      <c r="I40" s="24">
        <f>IF(G40=0,"—",IFERROR(H40*F40,""))</f>
        <v/>
      </c>
      <c r="J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Tubo PVC pluvial 88 mm</t>
        </is>
      </c>
      <c r="D41" s="17" t="inlineStr">
        <is>
          <t>condutores das calhas</t>
        </is>
      </c>
      <c r="E41" s="16" t="inlineStr">
        <is>
          <t>m</t>
        </is>
      </c>
      <c r="F41" s="31" t="n">
        <v>12</v>
      </c>
      <c r="G41" s="16">
        <f>COUNTIFS(Cotações!$D$2:$D$2,$A41)</f>
        <v/>
      </c>
      <c r="H41" s="32">
        <f>IF(G41=0,"—",_xlfn.MINIFS(Cotações!$I$2:$I$2,Cotações!$D$2:$D$2,$A41))</f>
        <v/>
      </c>
      <c r="I41" s="19">
        <f>IF(G41=0,"—",IFERROR(H41*F41,""))</f>
        <v/>
      </c>
      <c r="J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Conexões esgoto/pluvial (kit)</t>
        </is>
      </c>
      <c r="D42" s="22" t="inlineStr">
        <is>
          <t>joelhos, tês, junções, terminais vent.</t>
        </is>
      </c>
      <c r="E42" s="21" t="inlineStr">
        <is>
          <t>un</t>
        </is>
      </c>
      <c r="F42" s="29" t="n">
        <v>45</v>
      </c>
      <c r="G42" s="21">
        <f>COUNTIFS(Cotações!$D$2:$D$2,$A42)</f>
        <v/>
      </c>
      <c r="H42" s="30">
        <f>IF(G42=0,"—",_xlfn.MINIFS(Cotações!$I$2:$I$2,Cotações!$D$2:$D$2,$A42))</f>
        <v/>
      </c>
      <c r="I42" s="24">
        <f>IF(G42=0,"—",IFERROR(H42*F42,""))</f>
        <v/>
      </c>
      <c r="J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Caixa sifonada 150 mm</t>
        </is>
      </c>
      <c r="D43" s="17" t="inlineStr"/>
      <c r="E43" s="16" t="inlineStr">
        <is>
          <t>un</t>
        </is>
      </c>
      <c r="F43" s="31" t="n">
        <v>5</v>
      </c>
      <c r="G43" s="16">
        <f>COUNTIFS(Cotações!$D$2:$D$2,$A43)</f>
        <v/>
      </c>
      <c r="H43" s="32">
        <f>IF(G43=0,"—",_xlfn.MINIFS(Cotações!$I$2:$I$2,Cotações!$D$2:$D$2,$A43))</f>
        <v/>
      </c>
      <c r="I43" s="19">
        <f>IF(G43=0,"—",IFERROR(H43*F43,""))</f>
        <v/>
      </c>
      <c r="J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Ralo linear oculto (inox)</t>
        </is>
      </c>
      <c r="D44" s="22" t="inlineStr">
        <is>
          <t>banheiros sem box — sob carpete de pedra drenante</t>
        </is>
      </c>
      <c r="E44" s="21" t="inlineStr">
        <is>
          <t>un</t>
        </is>
      </c>
      <c r="F44" s="29" t="n">
        <v>3</v>
      </c>
      <c r="G44" s="21">
        <f>COUNTIFS(Cotações!$D$2:$D$2,$A44)</f>
        <v/>
      </c>
      <c r="H44" s="30">
        <f>IF(G44=0,"—",_xlfn.MINIFS(Cotações!$I$2:$I$2,Cotações!$D$2:$D$2,$A44))</f>
        <v/>
      </c>
      <c r="I44" s="24">
        <f>IF(G44=0,"—",IFERROR(H44*F44,""))</f>
        <v/>
      </c>
      <c r="J44" s="21" t="inlineStr">
        <is>
          <t>suíte, banheiro do quarto e banheiro térreo · caimento 2% na impermeabilização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Caixa de gordura</t>
        </is>
      </c>
      <c r="D45" s="17" t="inlineStr">
        <is>
          <t>cozinha</t>
        </is>
      </c>
      <c r="E45" s="16" t="inlineStr">
        <is>
          <t>un</t>
        </is>
      </c>
      <c r="F45" s="31" t="n">
        <v>1</v>
      </c>
      <c r="G45" s="16">
        <f>COUNTIFS(Cotações!$D$2:$D$2,$A45)</f>
        <v/>
      </c>
      <c r="H45" s="32">
        <f>IF(G45=0,"—",_xlfn.MINIFS(Cotações!$I$2:$I$2,Cotações!$D$2:$D$2,$A45))</f>
        <v/>
      </c>
      <c r="I45" s="19">
        <f>IF(G45=0,"—",IFERROR(H45*F45,""))</f>
        <v/>
      </c>
      <c r="J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Caixa de inspeção esgoto</t>
        </is>
      </c>
      <c r="D46" s="22" t="inlineStr"/>
      <c r="E46" s="21" t="inlineStr">
        <is>
          <t>un</t>
        </is>
      </c>
      <c r="F46" s="29" t="n">
        <v>2</v>
      </c>
      <c r="G46" s="21">
        <f>COUNTIFS(Cotações!$D$2:$D$2,$A46)</f>
        <v/>
      </c>
      <c r="H46" s="30">
        <f>IF(G46=0,"—",_xlfn.MINIFS(Cotações!$I$2:$I$2,Cotações!$D$2:$D$2,$A46))</f>
        <v/>
      </c>
      <c r="I46" s="24">
        <f>IF(G46=0,"—",IFERROR(H46*F46,""))</f>
        <v/>
      </c>
      <c r="J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Manifold água fria c/ registros</t>
        </is>
      </c>
      <c r="D47" s="17" t="inlineStr">
        <is>
          <t>12 saídas, latão/inox</t>
        </is>
      </c>
      <c r="E47" s="16" t="inlineStr">
        <is>
          <t>un</t>
        </is>
      </c>
      <c r="F47" s="31" t="n">
        <v>1</v>
      </c>
      <c r="G47" s="16">
        <f>COUNTIFS(Cotações!$D$2:$D$2,$A47)</f>
        <v/>
      </c>
      <c r="H47" s="32">
        <f>IF(G47=0,"—",_xlfn.MINIFS(Cotações!$I$2:$I$2,Cotações!$D$2:$D$2,$A47))</f>
        <v/>
      </c>
      <c r="I47" s="19">
        <f>IF(G47=0,"—",IFERROR(H47*F47,""))</f>
        <v/>
      </c>
      <c r="J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Manifold água quente c/ registros</t>
        </is>
      </c>
      <c r="D48" s="22" t="inlineStr">
        <is>
          <t>8 saídas</t>
        </is>
      </c>
      <c r="E48" s="21" t="inlineStr">
        <is>
          <t>un</t>
        </is>
      </c>
      <c r="F48" s="29" t="n">
        <v>1</v>
      </c>
      <c r="G48" s="21">
        <f>COUNTIFS(Cotações!$D$2:$D$2,$A48)</f>
        <v/>
      </c>
      <c r="H48" s="30">
        <f>IF(G48=0,"—",_xlfn.MINIFS(Cotações!$I$2:$I$2,Cotações!$D$2:$D$2,$A48))</f>
        <v/>
      </c>
      <c r="I48" s="24">
        <f>IF(G48=0,"—",IFERROR(H48*F48,""))</f>
        <v/>
      </c>
      <c r="J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Conexões PEX</t>
        </is>
      </c>
      <c r="D49" s="17" t="inlineStr">
        <is>
          <t>joelhos, tês, adaptadores de engate</t>
        </is>
      </c>
      <c r="E49" s="16" t="inlineStr">
        <is>
          <t>un</t>
        </is>
      </c>
      <c r="F49" s="31" t="n">
        <v>60</v>
      </c>
      <c r="G49" s="16">
        <f>COUNTIFS(Cotações!$D$2:$D$2,$A49)</f>
        <v/>
      </c>
      <c r="H49" s="32">
        <f>IF(G49=0,"—",_xlfn.MINIFS(Cotações!$I$2:$I$2,Cotações!$D$2:$D$2,$A49))</f>
        <v/>
      </c>
      <c r="I49" s="19">
        <f>IF(G49=0,"—",IFERROR(H49*F49,""))</f>
        <v/>
      </c>
      <c r="J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Conexões PPR diversas</t>
        </is>
      </c>
      <c r="D50" s="22" t="inlineStr">
        <is>
          <t>joelhos, tês, luvas, uniões</t>
        </is>
      </c>
      <c r="E50" s="21" t="inlineStr">
        <is>
          <t>un</t>
        </is>
      </c>
      <c r="F50" s="29" t="n">
        <v>35</v>
      </c>
      <c r="G50" s="21">
        <f>COUNTIFS(Cotações!$D$2:$D$2,$A50)</f>
        <v/>
      </c>
      <c r="H50" s="30">
        <f>IF(G50=0,"—",_xlfn.MINIFS(Cotações!$I$2:$I$2,Cotações!$D$2:$D$2,$A50))</f>
        <v/>
      </c>
      <c r="I50" s="24">
        <f>IF(G50=0,"—",IFERROR(H50*F50,""))</f>
        <v/>
      </c>
      <c r="J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Registro de esfera metálico 3/4"</t>
        </is>
      </c>
      <c r="D51" s="17" t="inlineStr"/>
      <c r="E51" s="16" t="inlineStr">
        <is>
          <t>un</t>
        </is>
      </c>
      <c r="F51" s="31" t="n">
        <v>12</v>
      </c>
      <c r="G51" s="16">
        <f>COUNTIFS(Cotações!$D$2:$D$2,$A51)</f>
        <v/>
      </c>
      <c r="H51" s="32">
        <f>IF(G51=0,"—",_xlfn.MINIFS(Cotações!$I$2:$I$2,Cotações!$D$2:$D$2,$A51))</f>
        <v/>
      </c>
      <c r="I51" s="19">
        <f>IF(G51=0,"—",IFERROR(H51*F51,""))</f>
        <v/>
      </c>
      <c r="J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Válvula de retenção</t>
        </is>
      </c>
      <c r="D52" s="22" t="inlineStr"/>
      <c r="E52" s="21" t="inlineStr">
        <is>
          <t>un</t>
        </is>
      </c>
      <c r="F52" s="29" t="n">
        <v>3</v>
      </c>
      <c r="G52" s="21">
        <f>COUNTIFS(Cotações!$D$2:$D$2,$A52)</f>
        <v/>
      </c>
      <c r="H52" s="30">
        <f>IF(G52=0,"—",_xlfn.MINIFS(Cotações!$I$2:$I$2,Cotações!$D$2:$D$2,$A52))</f>
        <v/>
      </c>
      <c r="I52" s="24">
        <f>IF(G52=0,"—",IFERROR(H52*F52,""))</f>
        <v/>
      </c>
      <c r="J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Misturadora termostática central</t>
        </is>
      </c>
      <c r="D53" s="17" t="inlineStr">
        <is>
          <t>saída do boiler, limite ~50 °C</t>
        </is>
      </c>
      <c r="E53" s="16" t="inlineStr">
        <is>
          <t>un</t>
        </is>
      </c>
      <c r="F53" s="31" t="n">
        <v>1</v>
      </c>
      <c r="G53" s="16">
        <f>COUNTIFS(Cotações!$D$2:$D$2,$A53)</f>
        <v/>
      </c>
      <c r="H53" s="32">
        <f>IF(G53=0,"—",_xlfn.MINIFS(Cotações!$I$2:$I$2,Cotações!$D$2:$D$2,$A53))</f>
        <v/>
      </c>
      <c r="I53" s="19">
        <f>IF(G53=0,"—",IFERROR(H53*F53,""))</f>
        <v/>
      </c>
      <c r="J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Válvula de alívio P&amp;T + dreno conduzido</t>
        </is>
      </c>
      <c r="D54" s="22" t="inlineStr"/>
      <c r="E54" s="21" t="inlineStr">
        <is>
          <t>un</t>
        </is>
      </c>
      <c r="F54" s="29" t="n">
        <v>1</v>
      </c>
      <c r="G54" s="21">
        <f>COUNTIFS(Cotações!$D$2:$D$2,$A54)</f>
        <v/>
      </c>
      <c r="H54" s="30">
        <f>IF(G54=0,"—",_xlfn.MINIFS(Cotações!$I$2:$I$2,Cotações!$D$2:$D$2,$A54))</f>
        <v/>
      </c>
      <c r="I54" s="24">
        <f>IF(G54=0,"—",IFERROR(H54*F54,""))</f>
        <v/>
      </c>
      <c r="J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Vaso de expansão água quente 18–24 L</t>
        </is>
      </c>
      <c r="D55" s="17" t="inlineStr"/>
      <c r="E55" s="16" t="inlineStr">
        <is>
          <t>un</t>
        </is>
      </c>
      <c r="F55" s="31" t="n">
        <v>1</v>
      </c>
      <c r="G55" s="16">
        <f>COUNTIFS(Cotações!$D$2:$D$2,$A55)</f>
        <v/>
      </c>
      <c r="H55" s="32">
        <f>IF(G55=0,"—",_xlfn.MINIFS(Cotações!$I$2:$I$2,Cotações!$D$2:$D$2,$A55))</f>
        <v/>
      </c>
      <c r="I55" s="19">
        <f>IF(G55=0,"—",IFERROR(H55*F55,""))</f>
        <v/>
      </c>
      <c r="J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Filtro de entrada (cavalete)</t>
        </is>
      </c>
      <c r="D56" s="22" t="inlineStr"/>
      <c r="E56" s="21" t="inlineStr">
        <is>
          <t>un</t>
        </is>
      </c>
      <c r="F56" s="29" t="n">
        <v>1</v>
      </c>
      <c r="G56" s="21">
        <f>COUNTIFS(Cotações!$D$2:$D$2,$A56)</f>
        <v/>
      </c>
      <c r="H56" s="30">
        <f>IF(G56=0,"—",_xlfn.MINIFS(Cotações!$I$2:$I$2,Cotações!$D$2:$D$2,$A56))</f>
        <v/>
      </c>
      <c r="I56" s="24">
        <f>IF(G56=0,"—",IFERROR(H56*F56,""))</f>
        <v/>
      </c>
      <c r="J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Bomba de calor AQS</t>
        </is>
      </c>
      <c r="D57" s="17" t="inlineStr">
        <is>
          <t>~5 kW térmico, COP ≥ 3,5, Wi-Fi</t>
        </is>
      </c>
      <c r="E57" s="16" t="inlineStr">
        <is>
          <t>un</t>
        </is>
      </c>
      <c r="F57" s="31" t="n">
        <v>1</v>
      </c>
      <c r="G57" s="16">
        <f>COUNTIFS(Cotações!$D$2:$D$2,$A57)</f>
        <v/>
      </c>
      <c r="H57" s="32">
        <f>IF(G57=0,"—",_xlfn.MINIFS(Cotações!$I$2:$I$2,Cotações!$D$2:$D$2,$A57))</f>
        <v/>
      </c>
      <c r="I57" s="19">
        <f>IF(G57=0,"—",IFERROR(H57*F57,""))</f>
        <v/>
      </c>
      <c r="J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Boiler inox alta pressão 400 L</t>
        </is>
      </c>
      <c r="D58" s="22" t="inlineStr">
        <is>
          <t>c/ resistência de apoio e anodo</t>
        </is>
      </c>
      <c r="E58" s="21" t="inlineStr">
        <is>
          <t>un</t>
        </is>
      </c>
      <c r="F58" s="29" t="n">
        <v>1</v>
      </c>
      <c r="G58" s="21">
        <f>COUNTIFS(Cotações!$D$2:$D$2,$A58)</f>
        <v/>
      </c>
      <c r="H58" s="30">
        <f>IF(G58=0,"—",_xlfn.MINIFS(Cotações!$I$2:$I$2,Cotações!$D$2:$D$2,$A58))</f>
        <v/>
      </c>
      <c r="I58" s="24">
        <f>IF(G58=0,"—",IFERROR(H58*F58,""))</f>
        <v/>
      </c>
      <c r="J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Sistema de pressurização</t>
        </is>
      </c>
      <c r="D59" s="17" t="inlineStr">
        <is>
          <t>bomba + vaso de expansão (ou pressurizador de linha)</t>
        </is>
      </c>
      <c r="E59" s="16" t="inlineStr">
        <is>
          <t>un</t>
        </is>
      </c>
      <c r="F59" s="31" t="n">
        <v>1</v>
      </c>
      <c r="G59" s="16">
        <f>COUNTIFS(Cotações!$D$2:$D$2,$A59)</f>
        <v/>
      </c>
      <c r="H59" s="32">
        <f>IF(G59=0,"—",_xlfn.MINIFS(Cotações!$I$2:$I$2,Cotações!$D$2:$D$2,$A59))</f>
        <v/>
      </c>
      <c r="I59" s="19">
        <f>IF(G59=0,"—",IFERROR(H59*F59,""))</f>
        <v/>
      </c>
      <c r="J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Bomba de recirculação c/ acionamento por demanda</t>
        </is>
      </c>
      <c r="D60" s="22" t="inlineStr">
        <is>
          <t>+ timer/relé p/ automação</t>
        </is>
      </c>
      <c r="E60" s="21" t="inlineStr">
        <is>
          <t>un</t>
        </is>
      </c>
      <c r="F60" s="29" t="n">
        <v>1</v>
      </c>
      <c r="G60" s="21">
        <f>COUNTIFS(Cotações!$D$2:$D$2,$A60)</f>
        <v/>
      </c>
      <c r="H60" s="30">
        <f>IF(G60=0,"—",_xlfn.MINIFS(Cotações!$I$2:$I$2,Cotações!$D$2:$D$2,$A60))</f>
        <v/>
      </c>
      <c r="I60" s="24">
        <f>IF(G60=0,"—",IFERROR(H60*F60,""))</f>
        <v/>
      </c>
      <c r="J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Caixa d'água 1.000 L</t>
        </is>
      </c>
      <c r="D61" s="17" t="inlineStr">
        <is>
          <t>c/ bóia, extravasor e limpeza</t>
        </is>
      </c>
      <c r="E61" s="16" t="inlineStr">
        <is>
          <t>un</t>
        </is>
      </c>
      <c r="F61" s="31" t="n">
        <v>1</v>
      </c>
      <c r="G61" s="16">
        <f>COUNTIFS(Cotações!$D$2:$D$2,$A61)</f>
        <v/>
      </c>
      <c r="H61" s="32">
        <f>IF(G61=0,"—",_xlfn.MINIFS(Cotações!$I$2:$I$2,Cotações!$D$2:$D$2,$A61))</f>
        <v/>
      </c>
      <c r="I61" s="19">
        <f>IF(G61=0,"—",IFERROR(H61*F61,""))</f>
        <v/>
      </c>
      <c r="J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Purificador cozinha + ponto bebedouro copa</t>
        </is>
      </c>
      <c r="D62" s="22" t="inlineStr"/>
      <c r="E62" s="21" t="inlineStr">
        <is>
          <t>un</t>
        </is>
      </c>
      <c r="F62" s="29" t="n">
        <v>2</v>
      </c>
      <c r="G62" s="21">
        <f>COUNTIFS(Cotações!$D$2:$D$2,$A62)</f>
        <v/>
      </c>
      <c r="H62" s="30">
        <f>IF(G62=0,"—",_xlfn.MINIFS(Cotações!$I$2:$I$2,Cotações!$D$2:$D$2,$A62))</f>
        <v/>
      </c>
      <c r="I62" s="24">
        <f>IF(G62=0,"—",IFERROR(H62*F62,""))</f>
        <v/>
      </c>
      <c r="J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Eletroduto 32 mm telhado → área técnica</t>
        </is>
      </c>
      <c r="D63" s="17" t="inlineStr">
        <is>
          <t>c/ caixas de passagem e arame-guia</t>
        </is>
      </c>
      <c r="E63" s="16" t="inlineStr">
        <is>
          <t>m</t>
        </is>
      </c>
      <c r="F63" s="31" t="n">
        <v>10</v>
      </c>
      <c r="G63" s="16">
        <f>COUNTIFS(Cotações!$D$2:$D$2,$A63)</f>
        <v/>
      </c>
      <c r="H63" s="32">
        <f>IF(G63=0,"—",_xlfn.MINIFS(Cotações!$I$2:$I$2,Cotações!$D$2:$D$2,$A63))</f>
        <v/>
      </c>
      <c r="I63" s="19">
        <f>IF(G63=0,"—",IFERROR(H63*F63,""))</f>
        <v/>
      </c>
      <c r="J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QDC c/ reserva p/ inversor</t>
        </is>
      </c>
      <c r="D64" s="22" t="inlineStr">
        <is>
          <t>espaço + disjuntor bidirecional futuro</t>
        </is>
      </c>
      <c r="E64" s="21" t="inlineStr">
        <is>
          <t>vb</t>
        </is>
      </c>
      <c r="F64" s="29" t="n">
        <v>1</v>
      </c>
      <c r="G64" s="21">
        <f>COUNTIFS(Cotações!$D$2:$D$2,$A64)</f>
        <v/>
      </c>
      <c r="H64" s="30">
        <f>IF(G64=0,"—",_xlfn.MINIFS(Cotações!$I$2:$I$2,Cotações!$D$2:$D$2,$A64))</f>
        <v/>
      </c>
      <c r="I64" s="24">
        <f>IF(G64=0,"—",IFERROR(H64*F64,""))</f>
        <v/>
      </c>
      <c r="J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Aterramento reforçado / SPDA prep.</t>
        </is>
      </c>
      <c r="D65" s="17" t="inlineStr">
        <is>
          <t>hastes + cabo de descida</t>
        </is>
      </c>
      <c r="E65" s="16" t="inlineStr">
        <is>
          <t>vb</t>
        </is>
      </c>
      <c r="F65" s="31" t="n">
        <v>1</v>
      </c>
      <c r="G65" s="16">
        <f>COUNTIFS(Cotações!$D$2:$D$2,$A65)</f>
        <v/>
      </c>
      <c r="H65" s="32">
        <f>IF(G65=0,"—",_xlfn.MINIFS(Cotações!$I$2:$I$2,Cotações!$D$2:$D$2,$A65))</f>
        <v/>
      </c>
      <c r="I65" s="19">
        <f>IF(G65=0,"—",IFERROR(H65*F65,""))</f>
        <v/>
      </c>
      <c r="J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Reforço de fixação na água oeste</t>
        </is>
      </c>
      <c r="D66" s="22" t="inlineStr">
        <is>
          <t>pontos de ancoragem previstos na estrutura</t>
        </is>
      </c>
      <c r="E66" s="21" t="inlineStr">
        <is>
          <t>vb</t>
        </is>
      </c>
      <c r="F66" s="29" t="n">
        <v>1</v>
      </c>
      <c r="G66" s="21">
        <f>COUNTIFS(Cotações!$D$2:$D$2,$A66)</f>
        <v/>
      </c>
      <c r="H66" s="30">
        <f>IF(G66=0,"—",_xlfn.MINIFS(Cotações!$I$2:$I$2,Cotações!$D$2:$D$2,$A66))</f>
        <v/>
      </c>
      <c r="I66" s="24">
        <f>IF(G66=0,"—",IFERROR(H66*F66,""))</f>
        <v/>
      </c>
      <c r="J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Padrão de entrada trifásico</t>
        </is>
      </c>
      <c r="D67" s="17" t="inlineStr">
        <is>
          <t>poste/caixa padrão Enel SP, 3F+N, disjuntor geral 40–50 A</t>
        </is>
      </c>
      <c r="E67" s="16" t="inlineStr">
        <is>
          <t>vb</t>
        </is>
      </c>
      <c r="F67" s="31" t="n">
        <v>1</v>
      </c>
      <c r="G67" s="16">
        <f>COUNTIFS(Cotações!$D$2:$D$2,$A67)</f>
        <v/>
      </c>
      <c r="H67" s="32">
        <f>IF(G67=0,"—",_xlfn.MINIFS(Cotações!$I$2:$I$2,Cotações!$D$2:$D$2,$A67))</f>
        <v/>
      </c>
      <c r="I67" s="19">
        <f>IF(G67=0,"—",IFERROR(H67*F67,""))</f>
        <v/>
      </c>
      <c r="J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Alimentador medidor → QDC</t>
        </is>
      </c>
      <c r="D68" s="22" t="inlineStr">
        <is>
          <t>cabo 16 mm² (4 vias) + eletroduto 40 mm</t>
        </is>
      </c>
      <c r="E68" s="21" t="inlineStr">
        <is>
          <t>m</t>
        </is>
      </c>
      <c r="F68" s="29" t="n">
        <v>18</v>
      </c>
      <c r="G68" s="21">
        <f>COUNTIFS(Cotações!$D$2:$D$2,$A68)</f>
        <v/>
      </c>
      <c r="H68" s="30">
        <f>IF(G68=0,"—",_xlfn.MINIFS(Cotações!$I$2:$I$2,Cotações!$D$2:$D$2,$A68))</f>
        <v/>
      </c>
      <c r="I68" s="24">
        <f>IF(G68=0,"—",IFERROR(H68*F68,""))</f>
        <v/>
      </c>
      <c r="J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QDC 32 circuitos c/ barramento trifásico</t>
        </is>
      </c>
      <c r="D69" s="17" t="inlineStr">
        <is>
          <t>embutir na área técnica</t>
        </is>
      </c>
      <c r="E69" s="16" t="inlineStr">
        <is>
          <t>un</t>
        </is>
      </c>
      <c r="F69" s="31" t="n">
        <v>1</v>
      </c>
      <c r="G69" s="16">
        <f>COUNTIFS(Cotações!$D$2:$D$2,$A69)</f>
        <v/>
      </c>
      <c r="H69" s="32">
        <f>IF(G69=0,"—",_xlfn.MINIFS(Cotações!$I$2:$I$2,Cotações!$D$2:$D$2,$A69))</f>
        <v/>
      </c>
      <c r="I69" s="19">
        <f>IF(G69=0,"—",IFERROR(H69*F69,""))</f>
        <v/>
      </c>
      <c r="J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Disjuntores DIN (mono e bifásicos)</t>
        </is>
      </c>
      <c r="D70" s="22" t="inlineStr">
        <is>
          <t>curvas B/C conforme circuito</t>
        </is>
      </c>
      <c r="E70" s="21" t="inlineStr">
        <is>
          <t>un</t>
        </is>
      </c>
      <c r="F70" s="29" t="n">
        <v>26</v>
      </c>
      <c r="G70" s="21">
        <f>COUNTIFS(Cotações!$D$2:$D$2,$A70)</f>
        <v/>
      </c>
      <c r="H70" s="30">
        <f>IF(G70=0,"—",_xlfn.MINIFS(Cotações!$I$2:$I$2,Cotações!$D$2:$D$2,$A70))</f>
        <v/>
      </c>
      <c r="I70" s="24">
        <f>IF(G70=0,"—",IFERROR(H70*F70,""))</f>
        <v/>
      </c>
      <c r="J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IDR / DR 30 mA</t>
        </is>
      </c>
      <c r="D71" s="17" t="inlineStr">
        <is>
          <t>banheiros, áreas molhadas, externas, cozinha</t>
        </is>
      </c>
      <c r="E71" s="16" t="inlineStr">
        <is>
          <t>un</t>
        </is>
      </c>
      <c r="F71" s="31" t="n">
        <v>4</v>
      </c>
      <c r="G71" s="16">
        <f>COUNTIFS(Cotações!$D$2:$D$2,$A71)</f>
        <v/>
      </c>
      <c r="H71" s="32">
        <f>IF(G71=0,"—",_xlfn.MINIFS(Cotações!$I$2:$I$2,Cotações!$D$2:$D$2,$A71))</f>
        <v/>
      </c>
      <c r="I71" s="19">
        <f>IF(G71=0,"—",IFERROR(H71*F71,""))</f>
        <v/>
      </c>
      <c r="J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DPS classe II (F+F+F+N)</t>
        </is>
      </c>
      <c r="D72" s="22" t="inlineStr">
        <is>
          <t>no QDC</t>
        </is>
      </c>
      <c r="E72" s="21" t="inlineStr">
        <is>
          <t>un</t>
        </is>
      </c>
      <c r="F72" s="29" t="n">
        <v>4</v>
      </c>
      <c r="G72" s="21">
        <f>COUNTIFS(Cotações!$D$2:$D$2,$A72)</f>
        <v/>
      </c>
      <c r="H72" s="30">
        <f>IF(G72=0,"—",_xlfn.MINIFS(Cotações!$I$2:$I$2,Cotações!$D$2:$D$2,$A72))</f>
        <v/>
      </c>
      <c r="I72" s="24">
        <f>IF(G72=0,"—",IFERROR(H72*F72,""))</f>
        <v/>
      </c>
      <c r="J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Aterramento</t>
        </is>
      </c>
      <c r="D73" s="17" t="inlineStr">
        <is>
          <t>3 hastes + cabo cobre nu 16 mm² + caixa inspeção</t>
        </is>
      </c>
      <c r="E73" s="16" t="inlineStr">
        <is>
          <t>vb</t>
        </is>
      </c>
      <c r="F73" s="31" t="n">
        <v>1</v>
      </c>
      <c r="G73" s="16">
        <f>COUNTIFS(Cotações!$D$2:$D$2,$A73)</f>
        <v/>
      </c>
      <c r="H73" s="32">
        <f>IF(G73=0,"—",_xlfn.MINIFS(Cotações!$I$2:$I$2,Cotações!$D$2:$D$2,$A73))</f>
        <v/>
      </c>
      <c r="I73" s="19">
        <f>IF(G73=0,"—",IFERROR(H73*F73,""))</f>
        <v/>
      </c>
      <c r="J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Eletroduto corrugado reforçado 25 mm</t>
        </is>
      </c>
      <c r="D74" s="22" t="inlineStr">
        <is>
          <t>sulcos no EPS c/ soprador térmico</t>
        </is>
      </c>
      <c r="E74" s="21" t="inlineStr">
        <is>
          <t>m</t>
        </is>
      </c>
      <c r="F74" s="29" t="n">
        <v>260</v>
      </c>
      <c r="G74" s="21">
        <f>COUNTIFS(Cotações!$D$2:$D$2,$A74)</f>
        <v/>
      </c>
      <c r="H74" s="30">
        <f>IF(G74=0,"—",_xlfn.MINIFS(Cotações!$I$2:$I$2,Cotações!$D$2:$D$2,$A74))</f>
        <v/>
      </c>
      <c r="I74" s="24">
        <f>IF(G74=0,"—",IFERROR(H74*F74,""))</f>
        <v/>
      </c>
      <c r="J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Eletroduto corrugado 32 mm</t>
        </is>
      </c>
      <c r="D75" s="17" t="inlineStr">
        <is>
          <t>circuitos 220 V, AC e troncos</t>
        </is>
      </c>
      <c r="E75" s="16" t="inlineStr">
        <is>
          <t>m</t>
        </is>
      </c>
      <c r="F75" s="31" t="n">
        <v>50</v>
      </c>
      <c r="G75" s="16">
        <f>COUNTIFS(Cotações!$D$2:$D$2,$A75)</f>
        <v/>
      </c>
      <c r="H75" s="32">
        <f>IF(G75=0,"—",_xlfn.MINIFS(Cotações!$I$2:$I$2,Cotações!$D$2:$D$2,$A75))</f>
        <v/>
      </c>
      <c r="I75" s="19">
        <f>IF(G75=0,"—",IFERROR(H75*F75,""))</f>
        <v/>
      </c>
      <c r="J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Caixa 4×2 (tomadas/interruptores)</t>
        </is>
      </c>
      <c r="D76" s="22" t="inlineStr"/>
      <c r="E76" s="21" t="inlineStr">
        <is>
          <t>un</t>
        </is>
      </c>
      <c r="F76" s="29" t="n">
        <v>75</v>
      </c>
      <c r="G76" s="21">
        <f>COUNTIFS(Cotações!$D$2:$D$2,$A76)</f>
        <v/>
      </c>
      <c r="H76" s="30">
        <f>IF(G76=0,"—",_xlfn.MINIFS(Cotações!$I$2:$I$2,Cotações!$D$2:$D$2,$A76))</f>
        <v/>
      </c>
      <c r="I76" s="24">
        <f>IF(G76=0,"—",IFERROR(H76*F76,""))</f>
        <v/>
      </c>
      <c r="J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Caixa 4×4</t>
        </is>
      </c>
      <c r="D77" s="17" t="inlineStr">
        <is>
          <t>pontos duplos, automação, rede</t>
        </is>
      </c>
      <c r="E77" s="16" t="inlineStr">
        <is>
          <t>un</t>
        </is>
      </c>
      <c r="F77" s="31" t="n">
        <v>18</v>
      </c>
      <c r="G77" s="16">
        <f>COUNTIFS(Cotações!$D$2:$D$2,$A77)</f>
        <v/>
      </c>
      <c r="H77" s="32">
        <f>IF(G77=0,"—",_xlfn.MINIFS(Cotações!$I$2:$I$2,Cotações!$D$2:$D$2,$A77))</f>
        <v/>
      </c>
      <c r="I77" s="19">
        <f>IF(G77=0,"—",IFERROR(H77*F77,""))</f>
        <v/>
      </c>
      <c r="J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Caixa octogonal/teto</t>
        </is>
      </c>
      <c r="D78" s="22" t="inlineStr">
        <is>
          <t>pontos de luz</t>
        </is>
      </c>
      <c r="E78" s="21" t="inlineStr">
        <is>
          <t>un</t>
        </is>
      </c>
      <c r="F78" s="29" t="n">
        <v>26</v>
      </c>
      <c r="G78" s="21">
        <f>COUNTIFS(Cotações!$D$2:$D$2,$A78)</f>
        <v/>
      </c>
      <c r="H78" s="30">
        <f>IF(G78=0,"—",_xlfn.MINIFS(Cotações!$I$2:$I$2,Cotações!$D$2:$D$2,$A78))</f>
        <v/>
      </c>
      <c r="I78" s="24">
        <f>IF(G78=0,"—",IFERROR(H78*F78,""))</f>
        <v/>
      </c>
      <c r="J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Quadro de passagem / shaft técnica</t>
        </is>
      </c>
      <c r="D79" s="17" t="inlineStr">
        <is>
          <t>organização das descidas</t>
        </is>
      </c>
      <c r="E79" s="16" t="inlineStr">
        <is>
          <t>un</t>
        </is>
      </c>
      <c r="F79" s="31" t="n">
        <v>2</v>
      </c>
      <c r="G79" s="16">
        <f>COUNTIFS(Cotações!$D$2:$D$2,$A79)</f>
        <v/>
      </c>
      <c r="H79" s="32">
        <f>IF(G79=0,"—",_xlfn.MINIFS(Cotações!$I$2:$I$2,Cotações!$D$2:$D$2,$A79))</f>
        <v/>
      </c>
      <c r="I79" s="19">
        <f>IF(G79=0,"—",IFERROR(H79*F79,""))</f>
        <v/>
      </c>
      <c r="J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Cabo flexível 1,5 mm²</t>
        </is>
      </c>
      <c r="D80" s="22" t="inlineStr">
        <is>
          <t>iluminação</t>
        </is>
      </c>
      <c r="E80" s="21" t="inlineStr">
        <is>
          <t>m</t>
        </is>
      </c>
      <c r="F80" s="29" t="n">
        <v>280</v>
      </c>
      <c r="G80" s="21">
        <f>COUNTIFS(Cotações!$D$2:$D$2,$A80)</f>
        <v/>
      </c>
      <c r="H80" s="30">
        <f>IF(G80=0,"—",_xlfn.MINIFS(Cotações!$I$2:$I$2,Cotações!$D$2:$D$2,$A80))</f>
        <v/>
      </c>
      <c r="I80" s="24">
        <f>IF(G80=0,"—",IFERROR(H80*F80,""))</f>
        <v/>
      </c>
      <c r="J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Cabo flexível 2,5 mm²</t>
        </is>
      </c>
      <c r="D81" s="17" t="inlineStr">
        <is>
          <t>tomadas de uso geral 127 V</t>
        </is>
      </c>
      <c r="E81" s="16" t="inlineStr">
        <is>
          <t>m</t>
        </is>
      </c>
      <c r="F81" s="31" t="n">
        <v>420</v>
      </c>
      <c r="G81" s="16">
        <f>COUNTIFS(Cotações!$D$2:$D$2,$A81)</f>
        <v/>
      </c>
      <c r="H81" s="32">
        <f>IF(G81=0,"—",_xlfn.MINIFS(Cotações!$I$2:$I$2,Cotações!$D$2:$D$2,$A81))</f>
        <v/>
      </c>
      <c r="I81" s="19">
        <f>IF(G81=0,"—",IFERROR(H81*F81,""))</f>
        <v/>
      </c>
      <c r="J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Cabo flexível 4,0 mm²</t>
        </is>
      </c>
      <c r="D82" s="22" t="inlineStr">
        <is>
          <t>tomadas 220 V + circuitos AC</t>
        </is>
      </c>
      <c r="E82" s="21" t="inlineStr">
        <is>
          <t>m</t>
        </is>
      </c>
      <c r="F82" s="29" t="n">
        <v>140</v>
      </c>
      <c r="G82" s="21">
        <f>COUNTIFS(Cotações!$D$2:$D$2,$A82)</f>
        <v/>
      </c>
      <c r="H82" s="30">
        <f>IF(G82=0,"—",_xlfn.MINIFS(Cotações!$I$2:$I$2,Cotações!$D$2:$D$2,$A82))</f>
        <v/>
      </c>
      <c r="I82" s="24">
        <f>IF(G82=0,"—",IFERROR(H82*F82,""))</f>
        <v/>
      </c>
      <c r="J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Cabo flexível 6,0 mm²</t>
        </is>
      </c>
      <c r="D83" s="17" t="inlineStr">
        <is>
          <t>cooktop indução, bomba de calor, forno</t>
        </is>
      </c>
      <c r="E83" s="16" t="inlineStr">
        <is>
          <t>m</t>
        </is>
      </c>
      <c r="F83" s="31" t="n">
        <v>60</v>
      </c>
      <c r="G83" s="16">
        <f>COUNTIFS(Cotações!$D$2:$D$2,$A83)</f>
        <v/>
      </c>
      <c r="H83" s="32">
        <f>IF(G83=0,"—",_xlfn.MINIFS(Cotações!$I$2:$I$2,Cotações!$D$2:$D$2,$A83))</f>
        <v/>
      </c>
      <c r="I83" s="19">
        <f>IF(G83=0,"—",IFERROR(H83*F83,""))</f>
        <v/>
      </c>
      <c r="J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Cabo PP / bitolas especiais</t>
        </is>
      </c>
      <c r="D84" s="22" t="inlineStr">
        <is>
          <t>pressurizador, recirculadora, portão</t>
        </is>
      </c>
      <c r="E84" s="21" t="inlineStr">
        <is>
          <t>m</t>
        </is>
      </c>
      <c r="F84" s="29" t="n">
        <v>30</v>
      </c>
      <c r="G84" s="21">
        <f>COUNTIFS(Cotações!$D$2:$D$2,$A84)</f>
        <v/>
      </c>
      <c r="H84" s="30">
        <f>IF(G84=0,"—",_xlfn.MINIFS(Cotações!$I$2:$I$2,Cotações!$D$2:$D$2,$A84))</f>
        <v/>
      </c>
      <c r="I84" s="24">
        <f>IF(G84=0,"—",IFERROR(H84*F84,""))</f>
        <v/>
      </c>
      <c r="J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Tomadas 2P+T 10 A — 127 V</t>
        </is>
      </c>
      <c r="D85" s="17" t="inlineStr">
        <is>
          <t>linha a definir</t>
        </is>
      </c>
      <c r="E85" s="16" t="inlineStr">
        <is>
          <t>un</t>
        </is>
      </c>
      <c r="F85" s="31" t="n">
        <v>42</v>
      </c>
      <c r="G85" s="16">
        <f>COUNTIFS(Cotações!$D$2:$D$2,$A85)</f>
        <v/>
      </c>
      <c r="H85" s="32">
        <f>IF(G85=0,"—",_xlfn.MINIFS(Cotações!$I$2:$I$2,Cotações!$D$2:$D$2,$A85))</f>
        <v/>
      </c>
      <c r="I85" s="19">
        <f>IF(G85=0,"—",IFERROR(H85*F85,""))</f>
        <v/>
      </c>
      <c r="J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Tomadas 2P+T 20 A — 220 V</t>
        </is>
      </c>
      <c r="D86" s="22" t="inlineStr">
        <is>
          <t>identificadas (cor/etiqueta vermelha)</t>
        </is>
      </c>
      <c r="E86" s="21" t="inlineStr">
        <is>
          <t>un</t>
        </is>
      </c>
      <c r="F86" s="29" t="n">
        <v>16</v>
      </c>
      <c r="G86" s="21">
        <f>COUNTIFS(Cotações!$D$2:$D$2,$A86)</f>
        <v/>
      </c>
      <c r="H86" s="30">
        <f>IF(G86=0,"—",_xlfn.MINIFS(Cotações!$I$2:$I$2,Cotações!$D$2:$D$2,$A86))</f>
        <v/>
      </c>
      <c r="I86" s="24">
        <f>IF(G86=0,"—",IFERROR(H86*F86,""))</f>
        <v/>
      </c>
      <c r="J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Pontos de luz (teto/arandela/pendente)</t>
        </is>
      </c>
      <c r="D87" s="17" t="inlineStr"/>
      <c r="E87" s="16" t="inlineStr">
        <is>
          <t>un</t>
        </is>
      </c>
      <c r="F87" s="31" t="n">
        <v>26</v>
      </c>
      <c r="G87" s="16">
        <f>COUNTIFS(Cotações!$D$2:$D$2,$A87)</f>
        <v/>
      </c>
      <c r="H87" s="32">
        <f>IF(G87=0,"—",_xlfn.MINIFS(Cotações!$I$2:$I$2,Cotações!$D$2:$D$2,$A87))</f>
        <v/>
      </c>
      <c r="I87" s="19">
        <f>IF(G87=0,"—",IFERROR(H87*F87,""))</f>
        <v/>
      </c>
      <c r="J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Fita LED + perfil alumínio</t>
        </is>
      </c>
      <c r="D88" s="22" t="inlineStr">
        <is>
          <t>sancas, closet, copa, escada</t>
        </is>
      </c>
      <c r="E88" s="21" t="inlineStr">
        <is>
          <t>m</t>
        </is>
      </c>
      <c r="F88" s="29" t="n">
        <v>22</v>
      </c>
      <c r="G88" s="21">
        <f>COUNTIFS(Cotações!$D$2:$D$2,$A88)</f>
        <v/>
      </c>
      <c r="H88" s="30">
        <f>IF(G88=0,"—",_xlfn.MINIFS(Cotações!$I$2:$I$2,Cotações!$D$2:$D$2,$A88))</f>
        <v/>
      </c>
      <c r="I88" s="24">
        <f>IF(G88=0,"—",IFERROR(H88*F88,""))</f>
        <v/>
      </c>
      <c r="J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Interruptores (bases p/ smart)</t>
        </is>
      </c>
      <c r="D89" s="17" t="inlineStr">
        <is>
          <t>ver seção 6</t>
        </is>
      </c>
      <c r="E89" s="16" t="inlineStr">
        <is>
          <t>un</t>
        </is>
      </c>
      <c r="F89" s="31" t="n">
        <v>18</v>
      </c>
      <c r="G89" s="16">
        <f>COUNTIFS(Cotações!$D$2:$D$2,$A89)</f>
        <v/>
      </c>
      <c r="H89" s="32">
        <f>IF(G89=0,"—",_xlfn.MINIFS(Cotações!$I$2:$I$2,Cotações!$D$2:$D$2,$A89))</f>
        <v/>
      </c>
      <c r="I89" s="19">
        <f>IF(G89=0,"—",IFERROR(H89*F89,""))</f>
        <v/>
      </c>
      <c r="J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Circuitos dedicados 220 V p/ AC</t>
        </is>
      </c>
      <c r="D90" s="22" t="inlineStr">
        <is>
          <t>ponto + dreno + tomada</t>
        </is>
      </c>
      <c r="E90" s="21" t="inlineStr">
        <is>
          <t>un</t>
        </is>
      </c>
      <c r="F90" s="29" t="n">
        <v>5</v>
      </c>
      <c r="G90" s="21">
        <f>COUNTIFS(Cotações!$D$2:$D$2,$A90)</f>
        <v/>
      </c>
      <c r="H90" s="30">
        <f>IF(G90=0,"—",_xlfn.MINIFS(Cotações!$I$2:$I$2,Cotações!$D$2:$D$2,$A90))</f>
        <v/>
      </c>
      <c r="I90" s="24">
        <f>IF(G90=0,"—",IFERROR(H90*F90,""))</f>
        <v/>
      </c>
      <c r="J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Tomadas externas IP55</t>
        </is>
      </c>
      <c r="D91" s="17" t="inlineStr">
        <is>
          <t>quintal, jardim, área de luz, garagem</t>
        </is>
      </c>
      <c r="E91" s="16" t="inlineStr">
        <is>
          <t>un</t>
        </is>
      </c>
      <c r="F91" s="31" t="n">
        <v>5</v>
      </c>
      <c r="G91" s="16">
        <f>COUNTIFS(Cotações!$D$2:$D$2,$A91)</f>
        <v/>
      </c>
      <c r="H91" s="32">
        <f>IF(G91=0,"—",_xlfn.MINIFS(Cotações!$I$2:$I$2,Cotações!$D$2:$D$2,$A91))</f>
        <v/>
      </c>
      <c r="I91" s="19">
        <f>IF(G91=0,"—",IFERROR(H91*F91,""))</f>
        <v/>
      </c>
      <c r="J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Cabo CAT6</t>
        </is>
      </c>
      <c r="D92" s="22" t="inlineStr">
        <is>
          <t>pontos fixos + câmeras + APs</t>
        </is>
      </c>
      <c r="E92" s="21" t="inlineStr">
        <is>
          <t>m</t>
        </is>
      </c>
      <c r="F92" s="29" t="n">
        <v>300</v>
      </c>
      <c r="G92" s="21">
        <f>COUNTIFS(Cotações!$D$2:$D$2,$A92)</f>
        <v/>
      </c>
      <c r="H92" s="30">
        <f>IF(G92=0,"—",_xlfn.MINIFS(Cotações!$I$2:$I$2,Cotações!$D$2:$D$2,$A92))</f>
        <v/>
      </c>
      <c r="I92" s="24">
        <f>IF(G92=0,"—",IFERROR(H92*F92,""))</f>
        <v/>
      </c>
      <c r="J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Pontos de rede (RJ45 duplos)</t>
        </is>
      </c>
      <c r="D93" s="17" t="inlineStr">
        <is>
          <t>TVs, escritório/mezanino, copa, técnica</t>
        </is>
      </c>
      <c r="E93" s="16" t="inlineStr">
        <is>
          <t>un</t>
        </is>
      </c>
      <c r="F93" s="31" t="n">
        <v>10</v>
      </c>
      <c r="G93" s="16">
        <f>COUNTIFS(Cotações!$D$2:$D$2,$A93)</f>
        <v/>
      </c>
      <c r="H93" s="32">
        <f>IF(G93=0,"—",_xlfn.MINIFS(Cotações!$I$2:$I$2,Cotações!$D$2:$D$2,$A93))</f>
        <v/>
      </c>
      <c r="I93" s="19">
        <f>IF(G93=0,"—",IFERROR(H93*F93,""))</f>
        <v/>
      </c>
      <c r="J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Rack 6U + patch panel + organizador</t>
        </is>
      </c>
      <c r="D94" s="22" t="inlineStr">
        <is>
          <t>na área técnica</t>
        </is>
      </c>
      <c r="E94" s="21" t="inlineStr">
        <is>
          <t>un</t>
        </is>
      </c>
      <c r="F94" s="29" t="n">
        <v>1</v>
      </c>
      <c r="G94" s="21">
        <f>COUNTIFS(Cotações!$D$2:$D$2,$A94)</f>
        <v/>
      </c>
      <c r="H94" s="30">
        <f>IF(G94=0,"—",_xlfn.MINIFS(Cotações!$I$2:$I$2,Cotações!$D$2:$D$2,$A94))</f>
        <v/>
      </c>
      <c r="I94" s="24">
        <f>IF(G94=0,"—",IFERROR(H94*F94,""))</f>
        <v/>
      </c>
      <c r="J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Switch PoE 16 portas</t>
        </is>
      </c>
      <c r="D95" s="17" t="inlineStr"/>
      <c r="E95" s="16" t="inlineStr">
        <is>
          <t>un</t>
        </is>
      </c>
      <c r="F95" s="31" t="n">
        <v>1</v>
      </c>
      <c r="G95" s="16">
        <f>COUNTIFS(Cotações!$D$2:$D$2,$A95)</f>
        <v/>
      </c>
      <c r="H95" s="32">
        <f>IF(G95=0,"—",_xlfn.MINIFS(Cotações!$I$2:$I$2,Cotações!$D$2:$D$2,$A95))</f>
        <v/>
      </c>
      <c r="I95" s="19">
        <f>IF(G95=0,"—",IFERROR(H95*F95,""))</f>
        <v/>
      </c>
      <c r="J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Access points Wi-Fi 6</t>
        </is>
      </c>
      <c r="D96" s="22" t="inlineStr">
        <is>
          <t>térreo + superior</t>
        </is>
      </c>
      <c r="E96" s="21" t="inlineStr">
        <is>
          <t>un</t>
        </is>
      </c>
      <c r="F96" s="29" t="n">
        <v>2</v>
      </c>
      <c r="G96" s="21">
        <f>COUNTIFS(Cotações!$D$2:$D$2,$A96)</f>
        <v/>
      </c>
      <c r="H96" s="30">
        <f>IF(G96=0,"—",_xlfn.MINIFS(Cotações!$I$2:$I$2,Cotações!$D$2:$D$2,$A96))</f>
        <v/>
      </c>
      <c r="I96" s="24">
        <f>IF(G96=0,"—",IFERROR(H96*F96,""))</f>
        <v/>
      </c>
      <c r="J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Câmeras IP PoE externas</t>
        </is>
      </c>
      <c r="D97" s="17" t="inlineStr">
        <is>
          <t>frente, viela, quintal, garagem</t>
        </is>
      </c>
      <c r="E97" s="16" t="inlineStr">
        <is>
          <t>un</t>
        </is>
      </c>
      <c r="F97" s="31" t="n">
        <v>4</v>
      </c>
      <c r="G97" s="16">
        <f>COUNTIFS(Cotações!$D$2:$D$2,$A97)</f>
        <v/>
      </c>
      <c r="H97" s="32">
        <f>IF(G97=0,"—",_xlfn.MINIFS(Cotações!$I$2:$I$2,Cotações!$D$2:$D$2,$A97))</f>
        <v/>
      </c>
      <c r="I97" s="19">
        <f>IF(G97=0,"—",IFERROR(H97*F97,""))</f>
        <v/>
      </c>
      <c r="J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Videoporteiro IP</t>
        </is>
      </c>
      <c r="D98" s="22" t="inlineStr">
        <is>
          <t>sem muro: módulo na fachada/jardim</t>
        </is>
      </c>
      <c r="E98" s="21" t="inlineStr">
        <is>
          <t>un</t>
        </is>
      </c>
      <c r="F98" s="29" t="n">
        <v>1</v>
      </c>
      <c r="G98" s="21">
        <f>COUNTIFS(Cotações!$D$2:$D$2,$A98)</f>
        <v/>
      </c>
      <c r="H98" s="30">
        <f>IF(G98=0,"—",_xlfn.MINIFS(Cotações!$I$2:$I$2,Cotações!$D$2:$D$2,$A98))</f>
        <v/>
      </c>
      <c r="I98" s="24">
        <f>IF(G98=0,"—",IFERROR(H98*F98,""))</f>
        <v/>
      </c>
      <c r="J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Fechadura eletrônica</t>
        </is>
      </c>
      <c r="D99" s="17" t="inlineStr">
        <is>
          <t>porta de entrada (garagem→sala)</t>
        </is>
      </c>
      <c r="E99" s="16" t="inlineStr">
        <is>
          <t>un</t>
        </is>
      </c>
      <c r="F99" s="31" t="n">
        <v>1</v>
      </c>
      <c r="G99" s="16">
        <f>COUNTIFS(Cotações!$D$2:$D$2,$A99)</f>
        <v/>
      </c>
      <c r="H99" s="32">
        <f>IF(G99=0,"—",_xlfn.MINIFS(Cotações!$I$2:$I$2,Cotações!$D$2:$D$2,$A99))</f>
        <v/>
      </c>
      <c r="I99" s="19">
        <f>IF(G99=0,"—",IFERROR(H99*F99,""))</f>
        <v/>
      </c>
      <c r="J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Hub central (Home Assistant + coordenador Zigbee)</t>
        </is>
      </c>
      <c r="D100" s="22" t="inlineStr">
        <is>
          <t>mini PC ou appliance no rack</t>
        </is>
      </c>
      <c r="E100" s="21" t="inlineStr">
        <is>
          <t>un</t>
        </is>
      </c>
      <c r="F100" s="29" t="n">
        <v>1</v>
      </c>
      <c r="G100" s="21">
        <f>COUNTIFS(Cotações!$D$2:$D$2,$A100)</f>
        <v/>
      </c>
      <c r="H100" s="30">
        <f>IF(G100=0,"—",_xlfn.MINIFS(Cotações!$I$2:$I$2,Cotações!$D$2:$D$2,$A100))</f>
        <v/>
      </c>
      <c r="I100" s="24">
        <f>IF(G100=0,"—",IFERROR(H100*F100,""))</f>
        <v/>
      </c>
      <c r="J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Interruptores inteligentes Zigbee/Matter</t>
        </is>
      </c>
      <c r="D101" s="17" t="inlineStr">
        <is>
          <t>c/ neutro, nas caixas 4×4</t>
        </is>
      </c>
      <c r="E101" s="16" t="inlineStr">
        <is>
          <t>un</t>
        </is>
      </c>
      <c r="F101" s="31" t="n">
        <v>18</v>
      </c>
      <c r="G101" s="16">
        <f>COUNTIFS(Cotações!$D$2:$D$2,$A101)</f>
        <v/>
      </c>
      <c r="H101" s="32">
        <f>IF(G101=0,"—",_xlfn.MINIFS(Cotações!$I$2:$I$2,Cotações!$D$2:$D$2,$A101))</f>
        <v/>
      </c>
      <c r="I101" s="19">
        <f>IF(G101=0,"—",IFERROR(H101*F101,""))</f>
        <v/>
      </c>
      <c r="J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Módulos relé/dimmer</t>
        </is>
      </c>
      <c r="D102" s="22" t="inlineStr">
        <is>
          <t>fitas LED, pendentes, cenas</t>
        </is>
      </c>
      <c r="E102" s="21" t="inlineStr">
        <is>
          <t>un</t>
        </is>
      </c>
      <c r="F102" s="29" t="n">
        <v>8</v>
      </c>
      <c r="G102" s="21">
        <f>COUNTIFS(Cotações!$D$2:$D$2,$A102)</f>
        <v/>
      </c>
      <c r="H102" s="30">
        <f>IF(G102=0,"—",_xlfn.MINIFS(Cotações!$I$2:$I$2,Cotações!$D$2:$D$2,$A102))</f>
        <v/>
      </c>
      <c r="I102" s="24">
        <f>IF(G102=0,"—",IFERROR(H102*F102,""))</f>
        <v/>
      </c>
      <c r="J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Sensores de presença/abertura</t>
        </is>
      </c>
      <c r="D103" s="17" t="inlineStr">
        <is>
          <t>circulações, escada, entrada</t>
        </is>
      </c>
      <c r="E103" s="16" t="inlineStr">
        <is>
          <t>un</t>
        </is>
      </c>
      <c r="F103" s="31" t="n">
        <v>8</v>
      </c>
      <c r="G103" s="16">
        <f>COUNTIFS(Cotações!$D$2:$D$2,$A103)</f>
        <v/>
      </c>
      <c r="H103" s="32">
        <f>IF(G103=0,"—",_xlfn.MINIFS(Cotações!$I$2:$I$2,Cotações!$D$2:$D$2,$A103))</f>
        <v/>
      </c>
      <c r="I103" s="19">
        <f>IF(G103=0,"—",IFERROR(H103*F103,""))</f>
        <v/>
      </c>
      <c r="J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Termostatos/controle IR p/ AC</t>
        </is>
      </c>
      <c r="D104" s="22" t="inlineStr">
        <is>
          <t>integração dos 5 ambientes</t>
        </is>
      </c>
      <c r="E104" s="21" t="inlineStr">
        <is>
          <t>un</t>
        </is>
      </c>
      <c r="F104" s="29" t="n">
        <v>5</v>
      </c>
      <c r="G104" s="21">
        <f>COUNTIFS(Cotações!$D$2:$D$2,$A104)</f>
        <v/>
      </c>
      <c r="H104" s="30">
        <f>IF(G104=0,"—",_xlfn.MINIFS(Cotações!$I$2:$I$2,Cotações!$D$2:$D$2,$A104))</f>
        <v/>
      </c>
      <c r="I104" s="24">
        <f>IF(G104=0,"—",IFERROR(H104*F104,""))</f>
        <v/>
      </c>
      <c r="J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Integrações técnicas</t>
        </is>
      </c>
      <c r="D105" s="17" t="inlineStr">
        <is>
          <t>bomba de calor Wi-Fi, recirculação, pressurizador, básculas do lanternim</t>
        </is>
      </c>
      <c r="E105" s="16" t="inlineStr">
        <is>
          <t>vb</t>
        </is>
      </c>
      <c r="F105" s="31" t="n">
        <v>1</v>
      </c>
      <c r="G105" s="16">
        <f>COUNTIFS(Cotações!$D$2:$D$2,$A105)</f>
        <v/>
      </c>
      <c r="H105" s="32">
        <f>IF(G105=0,"—",_xlfn.MINIFS(Cotações!$I$2:$I$2,Cotações!$D$2:$D$2,$A105))</f>
        <v/>
      </c>
      <c r="I105" s="19">
        <f>IF(G105=0,"—",IFERROR(H105*F105,""))</f>
        <v/>
      </c>
      <c r="J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Estação meteo + sensor chuva</t>
        </is>
      </c>
      <c r="D106" s="22" t="inlineStr">
        <is>
          <t>automatiza básculas e irrigação futura</t>
        </is>
      </c>
      <c r="E106" s="21" t="inlineStr">
        <is>
          <t>un</t>
        </is>
      </c>
      <c r="F106" s="29" t="n">
        <v>1</v>
      </c>
      <c r="G106" s="21">
        <f>COUNTIFS(Cotações!$D$2:$D$2,$A106)</f>
        <v/>
      </c>
      <c r="H106" s="30">
        <f>IF(G106=0,"—",_xlfn.MINIFS(Cotações!$I$2:$I$2,Cotações!$D$2:$D$2,$A106))</f>
        <v/>
      </c>
      <c r="I106" s="24">
        <f>IF(G106=0,"—",IFERROR(H106*F106,""))</f>
        <v/>
      </c>
      <c r="J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Cabo 10 mm² — circuito Invisacook 40 A</t>
        </is>
      </c>
      <c r="D107" s="17" t="inlineStr">
        <is>
          <t>ilha da cozinha, 220 V bifásico</t>
        </is>
      </c>
      <c r="E107" s="16" t="inlineStr">
        <is>
          <t>m</t>
        </is>
      </c>
      <c r="F107" s="31" t="n">
        <v>14</v>
      </c>
      <c r="G107" s="16">
        <f>COUNTIFS(Cotações!$D$2:$D$2,$A107)</f>
        <v/>
      </c>
      <c r="H107" s="32">
        <f>IF(G107=0,"—",_xlfn.MINIFS(Cotações!$I$2:$I$2,Cotações!$D$2:$D$2,$A107))</f>
        <v/>
      </c>
      <c r="I107" s="19">
        <f>IF(G107=0,"—",IFERROR(H107*F107,""))</f>
        <v/>
      </c>
      <c r="J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Eletroduto 32 mm embutido no RADIER → ilha</t>
        </is>
      </c>
      <c r="D108" s="22" t="inlineStr">
        <is>
          <t>posicionar ANTES da concretagem</t>
        </is>
      </c>
      <c r="E108" s="21" t="inlineStr">
        <is>
          <t>m</t>
        </is>
      </c>
      <c r="F108" s="29" t="n">
        <v>6</v>
      </c>
      <c r="G108" s="21">
        <f>COUNTIFS(Cotações!$D$2:$D$2,$A108)</f>
        <v/>
      </c>
      <c r="H108" s="30">
        <f>IF(G108=0,"—",_xlfn.MINIFS(Cotações!$I$2:$I$2,Cotações!$D$2:$D$2,$A108))</f>
        <v/>
      </c>
      <c r="I108" s="24">
        <f>IF(G108=0,"—",IFERROR(H108*F108,""))</f>
        <v/>
      </c>
      <c r="J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Disjuntor bifásico 40 A + conexão na ilha</t>
        </is>
      </c>
      <c r="D109" s="17" t="inlineStr"/>
      <c r="E109" s="16" t="inlineStr">
        <is>
          <t>un</t>
        </is>
      </c>
      <c r="F109" s="31" t="n">
        <v>1</v>
      </c>
      <c r="G109" s="16">
        <f>COUNTIFS(Cotações!$D$2:$D$2,$A109)</f>
        <v/>
      </c>
      <c r="H109" s="32">
        <f>IF(G109=0,"—",_xlfn.MINIFS(Cotações!$I$2:$I$2,Cotações!$D$2:$D$2,$A109))</f>
        <v/>
      </c>
      <c r="I109" s="19">
        <f>IF(G109=0,"—",IFERROR(H109*F109,""))</f>
        <v/>
      </c>
      <c r="J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Circuitos varanda gourmet (luz + tomadas IP55 + 220 V)</t>
        </is>
      </c>
      <c r="D110" s="22" t="inlineStr">
        <is>
          <t>em circuito c/ DR</t>
        </is>
      </c>
      <c r="E110" s="21" t="inlineStr">
        <is>
          <t>vb</t>
        </is>
      </c>
      <c r="F110" s="29" t="n">
        <v>1</v>
      </c>
      <c r="G110" s="21">
        <f>COUNTIFS(Cotações!$D$2:$D$2,$A110)</f>
        <v/>
      </c>
      <c r="H110" s="30">
        <f>IF(G110=0,"—",_xlfn.MINIFS(Cotações!$I$2:$I$2,Cotações!$D$2:$D$2,$A110))</f>
        <v/>
      </c>
      <c r="I110" s="24">
        <f>IF(G110=0,"—",IFERROR(H110*F110,""))</f>
        <v/>
      </c>
      <c r="J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Condensadora multi-split tri inverter R-32</t>
        </is>
      </c>
      <c r="D111" s="17" t="inlineStr">
        <is>
          <t>~27.000 BTU, Wi-Fi/Matter</t>
        </is>
      </c>
      <c r="E111" s="16" t="inlineStr">
        <is>
          <t>un</t>
        </is>
      </c>
      <c r="F111" s="31" t="n">
        <v>1</v>
      </c>
      <c r="G111" s="16">
        <f>COUNTIFS(Cotações!$D$2:$D$2,$A111)</f>
        <v/>
      </c>
      <c r="H111" s="32">
        <f>IF(G111=0,"—",_xlfn.MINIFS(Cotações!$I$2:$I$2,Cotações!$D$2:$D$2,$A111))</f>
        <v/>
      </c>
      <c r="I111" s="19">
        <f>IF(G111=0,"—",IFERROR(H111*F111,""))</f>
        <v/>
      </c>
      <c r="J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Evaporadora hi-wall 9.000 BTU (multi)</t>
        </is>
      </c>
      <c r="D112" s="22" t="inlineStr">
        <is>
          <t>quente/frio</t>
        </is>
      </c>
      <c r="E112" s="21" t="inlineStr">
        <is>
          <t>un</t>
        </is>
      </c>
      <c r="F112" s="29" t="n">
        <v>2</v>
      </c>
      <c r="G112" s="21">
        <f>COUNTIFS(Cotações!$D$2:$D$2,$A112)</f>
        <v/>
      </c>
      <c r="H112" s="30">
        <f>IF(G112=0,"—",_xlfn.MINIFS(Cotações!$I$2:$I$2,Cotações!$D$2:$D$2,$A112))</f>
        <v/>
      </c>
      <c r="I112" s="24">
        <f>IF(G112=0,"—",IFERROR(H112*F112,""))</f>
        <v/>
      </c>
      <c r="J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Split independente da sala 18–22.000 BTU</t>
        </is>
      </c>
      <c r="D113" s="17" t="inlineStr">
        <is>
          <t>piso-teto ou hi-wall a ~2,5 m</t>
        </is>
      </c>
      <c r="E113" s="16" t="inlineStr">
        <is>
          <t>un</t>
        </is>
      </c>
      <c r="F113" s="31" t="n">
        <v>1</v>
      </c>
      <c r="G113" s="16">
        <f>COUNTIFS(Cotações!$D$2:$D$2,$A113)</f>
        <v/>
      </c>
      <c r="H113" s="32">
        <f>IF(G113=0,"—",_xlfn.MINIFS(Cotações!$I$2:$I$2,Cotações!$D$2:$D$2,$A113))</f>
        <v/>
      </c>
      <c r="I113" s="19">
        <f>IF(G113=0,"—",IFERROR(H113*F113,""))</f>
        <v/>
      </c>
      <c r="J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Ventilador de teto destratificador c/ reversão</t>
        </is>
      </c>
      <c r="D114" s="22" t="inlineStr">
        <is>
          <t>no vão duplo</t>
        </is>
      </c>
      <c r="E114" s="21" t="inlineStr">
        <is>
          <t>un</t>
        </is>
      </c>
      <c r="F114" s="29" t="n">
        <v>1</v>
      </c>
      <c r="G114" s="21">
        <f>COUNTIFS(Cotações!$D$2:$D$2,$A114)</f>
        <v/>
      </c>
      <c r="H114" s="30">
        <f>IF(G114=0,"—",_xlfn.MINIFS(Cotações!$I$2:$I$2,Cotações!$D$2:$D$2,$A114))</f>
        <v/>
      </c>
      <c r="I114" s="24">
        <f>IF(G114=0,"—",IFERROR(H114*F114,""))</f>
        <v/>
      </c>
      <c r="J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Linha frigorígena 1/4"+3/8" isolada</t>
        </is>
      </c>
      <c r="D115" s="17" t="inlineStr">
        <is>
          <t>pares suíte/quarto/mezanino (seca)</t>
        </is>
      </c>
      <c r="E115" s="16" t="inlineStr">
        <is>
          <t>m</t>
        </is>
      </c>
      <c r="F115" s="31" t="n">
        <v>34</v>
      </c>
      <c r="G115" s="16">
        <f>COUNTIFS(Cotações!$D$2:$D$2,$A115)</f>
        <v/>
      </c>
      <c r="H115" s="32">
        <f>IF(G115=0,"—",_xlfn.MINIFS(Cotações!$I$2:$I$2,Cotações!$D$2:$D$2,$A115))</f>
        <v/>
      </c>
      <c r="I115" s="19">
        <f>IF(G115=0,"—",IFERROR(H115*F115,""))</f>
        <v/>
      </c>
      <c r="J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Linha frigorígena 1/4"+1/2" isolada</t>
        </is>
      </c>
      <c r="D116" s="22" t="inlineStr">
        <is>
          <t>sala</t>
        </is>
      </c>
      <c r="E116" s="21" t="inlineStr">
        <is>
          <t>m</t>
        </is>
      </c>
      <c r="F116" s="29" t="n">
        <v>8</v>
      </c>
      <c r="G116" s="21">
        <f>COUNTIFS(Cotações!$D$2:$D$2,$A116)</f>
        <v/>
      </c>
      <c r="H116" s="30">
        <f>IF(G116=0,"—",_xlfn.MINIFS(Cotações!$I$2:$I$2,Cotações!$D$2:$D$2,$A116))</f>
        <v/>
      </c>
      <c r="I116" s="24">
        <f>IF(G116=0,"—",IFERROR(H116*F116,""))</f>
        <v/>
      </c>
      <c r="J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Suportes, calços antivibração e defletores</t>
        </is>
      </c>
      <c r="D117" s="17" t="inlineStr"/>
      <c r="E117" s="16" t="inlineStr">
        <is>
          <t>cj</t>
        </is>
      </c>
      <c r="F117" s="31" t="n">
        <v>3</v>
      </c>
      <c r="G117" s="16">
        <f>COUNTIFS(Cotações!$D$2:$D$2,$A117)</f>
        <v/>
      </c>
      <c r="H117" s="32">
        <f>IF(G117=0,"—",_xlfn.MINIFS(Cotações!$I$2:$I$2,Cotações!$D$2:$D$2,$A117))</f>
        <v/>
      </c>
      <c r="I117" s="19">
        <f>IF(G117=0,"—",IFERROR(H117*F117,""))</f>
        <v/>
      </c>
      <c r="J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Drenos PVC 25 mm c/ sifão</t>
        </is>
      </c>
      <c r="D118" s="22" t="inlineStr">
        <is>
          <t>conduzidos ao esgoto/área de luz</t>
        </is>
      </c>
      <c r="E118" s="21" t="inlineStr">
        <is>
          <t>m</t>
        </is>
      </c>
      <c r="F118" s="29" t="n">
        <v>20</v>
      </c>
      <c r="G118" s="21">
        <f>COUNTIFS(Cotações!$D$2:$D$2,$A118)</f>
        <v/>
      </c>
      <c r="H118" s="30">
        <f>IF(G118=0,"—",_xlfn.MINIFS(Cotações!$I$2:$I$2,Cotações!$D$2:$D$2,$A118))</f>
        <v/>
      </c>
      <c r="I118" s="24">
        <f>IF(G118=0,"—",IFERROR(H118*F118,""))</f>
        <v/>
      </c>
      <c r="J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Vácuo, carga R-32 e mão de obra de instalação</t>
        </is>
      </c>
      <c r="D119" s="17" t="inlineStr"/>
      <c r="E119" s="16" t="inlineStr">
        <is>
          <t>vb</t>
        </is>
      </c>
      <c r="F119" s="31" t="n">
        <v>1</v>
      </c>
      <c r="G119" s="16">
        <f>COUNTIFS(Cotações!$D$2:$D$2,$A119)</f>
        <v/>
      </c>
      <c r="H119" s="32">
        <f>IF(G119=0,"—",_xlfn.MINIFS(Cotações!$I$2:$I$2,Cotações!$D$2:$D$2,$A119))</f>
        <v/>
      </c>
      <c r="I119" s="19">
        <f>IF(G119=0,"—",IFERROR(H119*F119,""))</f>
        <v/>
      </c>
      <c r="J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Forro nivelado gesso acartonado + EPS — pav. superior (quartos, copa, banheiros, corredor)</t>
        </is>
      </c>
      <c r="D120" s="22" t="inlineStr">
        <is>
          <t>não acompanha a água do telhado · placas EPS sobre perfilado + gesso</t>
        </is>
      </c>
      <c r="E120" s="21" t="inlineStr">
        <is>
          <t>m²</t>
        </is>
      </c>
      <c r="F120" s="29" t="n">
        <v>47</v>
      </c>
      <c r="G120" s="21">
        <f>COUNTIFS(Cotações!$D$2:$D$2,$A120)</f>
        <v/>
      </c>
      <c r="H120" s="30">
        <f>IF(G120=0,"—",_xlfn.MINIFS(Cotações!$I$2:$I$2,Cotações!$D$2:$D$2,$A120))</f>
        <v/>
      </c>
      <c r="I120" s="24">
        <f>IF(G120=0,"—",IFERROR(H120*F120,""))</f>
        <v/>
      </c>
      <c r="J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Forro de madeira acompanhando o telhado — mezanino + vão livre do pé-direito duplo</t>
        </is>
      </c>
      <c r="D121" s="17" t="inlineStr">
        <is>
          <t>lambril (cedrinho/pinus autoclavado) fixado sob as terças, acompanhando as duas águas</t>
        </is>
      </c>
      <c r="E121" s="16" t="inlineStr">
        <is>
          <t>m²</t>
        </is>
      </c>
      <c r="F121" s="31" t="n">
        <v>45</v>
      </c>
      <c r="G121" s="16">
        <f>COUNTIFS(Cotações!$D$2:$D$2,$A121)</f>
        <v/>
      </c>
      <c r="H121" s="32">
        <f>IF(G121=0,"—",_xlfn.MINIFS(Cotações!$I$2:$I$2,Cotações!$D$2:$D$2,$A121))</f>
        <v/>
      </c>
      <c r="I121" s="19">
        <f>IF(G121=0,"—",IFERROR(H121*F121,""))</f>
        <v/>
      </c>
      <c r="J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Divisórias internas Lightwall 2P 90 mm — pavimento superior completo</t>
        </is>
      </c>
      <c r="D122" s="22" t="inlineStr">
        <is>
          <t>painéis 2500/3000×610×90 · juntas c/ tela de fibra + basecoat · fixação à laje e à estrutura conforme manual (§8) · uso SVVIE homologado</t>
        </is>
      </c>
      <c r="E122" s="21" t="inlineStr">
        <is>
          <t>m²</t>
        </is>
      </c>
      <c r="F122" s="29" t="n">
        <v>80</v>
      </c>
      <c r="G122" s="21">
        <f>COUNTIFS(Cotações!$D$2:$D$2,$A122)</f>
        <v/>
      </c>
      <c r="H122" s="30">
        <f>IF(G122=0,"—",_xlfn.MINIFS(Cotações!$I$2:$I$2,Cotações!$D$2:$D$2,$A122))</f>
        <v/>
      </c>
      <c r="I122" s="24">
        <f>IF(G122=0,"—",IFERROR(H122*F122,""))</f>
        <v/>
      </c>
      <c r="J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Portinha metálica de acesso à faixa de luz (jardim frontal → corredor NE)</t>
        </is>
      </c>
      <c r="D123" s="17" t="inlineStr">
        <is>
          <t>vão 1,20 × ~2,10 · recuada 0,80 da fachada · gradil/chapa perfurada c/ fechadura</t>
        </is>
      </c>
      <c r="E123" s="16" t="inlineStr">
        <is>
          <t>un</t>
        </is>
      </c>
      <c r="F123" s="31" t="n">
        <v>1</v>
      </c>
      <c r="G123" s="16">
        <f>COUNTIFS(Cotações!$D$2:$D$2,$A123)</f>
        <v/>
      </c>
      <c r="H123" s="32">
        <f>IF(G123=0,"—",_xlfn.MINIFS(Cotações!$I$2:$I$2,Cotações!$D$2:$D$2,$A123))</f>
        <v/>
      </c>
      <c r="I123" s="19">
        <f>IF(G123=0,"—",IFERROR(H123*F123,""))</f>
        <v/>
      </c>
      <c r="J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Janelão da sala p/ jardim de inverno (parede NE) — vidro laminado</t>
        </is>
      </c>
      <c r="D124" s="22" t="inlineStr">
        <is>
          <t>~3,50 m de largura · sobe o pé-direito duplo · caixilho c/ folhas de ventilação</t>
        </is>
      </c>
      <c r="E124" s="21" t="inlineStr">
        <is>
          <t>m²</t>
        </is>
      </c>
      <c r="F124" s="29" t="n">
        <v>12</v>
      </c>
      <c r="G124" s="21">
        <f>COUNTIFS(Cotações!$D$2:$D$2,$A124)</f>
        <v/>
      </c>
      <c r="H124" s="30">
        <f>IF(G124=0,"—",_xlfn.MINIFS(Cotações!$I$2:$I$2,Cotações!$D$2:$D$2,$A124))</f>
        <v/>
      </c>
      <c r="I124" s="24">
        <f>IF(G124=0,"—",IFERROR(H124*F124,""))</f>
        <v/>
      </c>
      <c r="J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Parede verde / jardim vertical na divisa NE (Luz 1)</t>
        </is>
      </c>
      <c r="D125" s="17" t="inlineStr">
        <is>
          <t>~1,20 × 4,85 × h ~3 m ≈ 14 m² · painéis modulares ou treliça c/ trepadeiras</t>
        </is>
      </c>
      <c r="E125" s="16" t="inlineStr">
        <is>
          <t>m²</t>
        </is>
      </c>
      <c r="F125" s="31" t="n">
        <v>14</v>
      </c>
      <c r="G125" s="16">
        <f>COUNTIFS(Cotações!$D$2:$D$2,$A125)</f>
        <v/>
      </c>
      <c r="H125" s="32">
        <f>IF(G125=0,"—",_xlfn.MINIFS(Cotações!$I$2:$I$2,Cotações!$D$2:$D$2,$A125))</f>
        <v/>
      </c>
      <c r="I125" s="19">
        <f>IF(G125=0,"—",IFERROR(H125*F125,""))</f>
        <v/>
      </c>
      <c r="J125" s="16" t="inlineStr">
        <is>
          <t>CRÍTICO: impermeabilizar a divisa antes (umidade permanente) + barreira anti-raiz · irrigação automática c/ ponto de água e dreno próprio · manutenção pela portinha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7" customWidth="1" min="3" max="3"/>
    <col width="8" customWidth="1" min="4" max="4"/>
    <col width="40" customWidth="1" min="5" max="5"/>
    <col width="7" customWidth="1" min="6" max="6"/>
    <col width="22" customWidth="1" min="7" max="7"/>
    <col width="9" customWidth="1" min="8" max="8"/>
    <col width="13" customWidth="1" min="9" max="9"/>
    <col width="13" customWidth="1" min="10" max="10"/>
    <col width="9" customWidth="1" min="11" max="11"/>
    <col width="44" customWidth="1" min="12" max="12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Categoria</t>
        </is>
      </c>
      <c r="D1" s="15" t="inlineStr">
        <is>
          <t>Item ID</t>
        </is>
      </c>
      <c r="E1" s="15" t="inlineStr">
        <is>
          <t>Item</t>
        </is>
      </c>
      <c r="F1" s="15" t="inlineStr">
        <is>
          <t>Etapa</t>
        </is>
      </c>
      <c r="G1" s="15" t="inlineStr">
        <is>
          <t>Fornecedor</t>
        </is>
      </c>
      <c r="H1" s="15" t="inlineStr">
        <is>
          <t>Qtde</t>
        </is>
      </c>
      <c r="I1" s="15" t="inlineStr">
        <is>
          <t>Preço unit.</t>
        </is>
      </c>
      <c r="J1" s="15" t="inlineStr">
        <is>
          <t>Total</t>
        </is>
      </c>
      <c r="K1" s="15" t="inlineStr">
        <is>
          <t>Melhor?</t>
        </is>
      </c>
      <c r="L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L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IF(Etapas!I3&gt;0,Etapas!I3,Etapas!J3)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IF(Etapas!I4&gt;0,Etapas!I4,Etapas!J4)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IF(Etapas!I5&gt;0,Etapas!I5,Etapas!J5)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IF(Etapas!I6&gt;0,Etapas!I6,Etapas!J6)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IF(Etapas!I7&gt;0,Etapas!I7,Etapas!J7)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IF(Etapas!I8&gt;0,Etapas!I8,Etapas!J8)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IF(Etapas!I9&gt;0,Etapas!I9,Etapas!J9)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IF(Etapas!I10&gt;0,Etapas!I10,Etapas!J10)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IF(Etapas!I11&gt;0,Etapas!I11,Etapas!J11)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IF(Etapas!I12&gt;0,Etapas!I12,Etapas!J12)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IF(Etapas!I13&gt;0,Etapas!I13,Etapas!J13)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IF(Etapas!I14&gt;0,Etapas!I14,Etapas!J14)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IF(Etapas!I15&gt;0,Etapas!I15,Etapas!J15)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2026-07-16T04:49:13Z</dcterms:created>
  <dcterms:modified xsi:type="dcterms:W3CDTF">2026-07-16T04:49:13Z</dcterms:modified>
</cp:coreProperties>
</file>