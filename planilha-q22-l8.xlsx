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Etapas" sheetId="2" state="visible" r:id="rId4"/>
    <sheet name="Itens" sheetId="3" state="visible" r:id="rId5"/>
    <sheet name="Cotações" sheetId="4" state="visible" r:id="rId6"/>
    <sheet name="Comparativo" sheetId="5" state="visible" r:id="rId7"/>
    <sheet name="Revisõe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<sst xmlns="http://schemas.openxmlformats.org/spreadsheetml/2006/main" count="832" uniqueCount="546">
  <si>
    <t xml:space="preserve">RESIDÊNCIA Q22 · L8 — PLANILHA DE CUSTOS E MATERIAIS</t>
  </si>
  <si>
    <t xml:space="preserve">Gerada automaticamente a partir dos dados do painel de obra · NÃO editar à mão</t>
  </si>
  <si>
    <t xml:space="preserve">Gerada em 16/07/2026 01:48 (BRT)</t>
  </si>
  <si>
    <t xml:space="preserve">INDICADOR</t>
  </si>
  <si>
    <t xml:space="preserve">VALOR</t>
  </si>
  <si>
    <t xml:space="preserve">OBSERVAÇÃO</t>
  </si>
  <si>
    <t xml:space="preserve">Área construída</t>
  </si>
  <si>
    <t xml:space="preserve">m²</t>
  </si>
  <si>
    <t xml:space="preserve">térreo 75 + garagem 27,5 + superior 62 + extensão 18</t>
  </si>
  <si>
    <t xml:space="preserve">Estimativa — faixa baixa</t>
  </si>
  <si>
    <t xml:space="preserve">soma das 13 etapas</t>
  </si>
  <si>
    <t xml:space="preserve">Estimativa — faixa alta</t>
  </si>
  <si>
    <t xml:space="preserve">Custo/m² — baixo</t>
  </si>
  <si>
    <t xml:space="preserve">referência CUB-SP R8-N: R$ 2.129,86</t>
  </si>
  <si>
    <t xml:space="preserve">Custo/m² — alto</t>
  </si>
  <si>
    <t xml:space="preserve">diferença = sistemas premium (bomba de calor, automação, resinados)</t>
  </si>
  <si>
    <t xml:space="preserve">Total cotado/contratado</t>
  </si>
  <si>
    <t xml:space="preserve">soma de tudo lançado no site</t>
  </si>
  <si>
    <t xml:space="preserve">Custo real informado</t>
  </si>
  <si>
    <t xml:space="preserve">digitado na aba Etapas do site</t>
  </si>
  <si>
    <t xml:space="preserve">Cotações registradas</t>
  </si>
  <si>
    <t xml:space="preserve">cada lançamento = 1 commit no repositório</t>
  </si>
  <si>
    <t xml:space="preserve">Avanço geral (ponderado por custo)</t>
  </si>
  <si>
    <t xml:space="preserve">ponderado pela média da faixa de cada etapa</t>
  </si>
  <si>
    <t xml:space="preserve">Etapas concluídas</t>
  </si>
  <si>
    <t xml:space="preserve">de 13</t>
  </si>
  <si>
    <t xml:space="preserve">SISTEMA CONSTRUTIVO (revisão atual)</t>
  </si>
  <si>
    <t xml:space="preserve">Paredes estruturais</t>
  </si>
  <si>
    <t xml:space="preserve">Monolev ~340 m² líquidos — perímetro + térreo</t>
  </si>
  <si>
    <t xml:space="preserve">Divisórias do superior</t>
  </si>
  <si>
    <t xml:space="preserve">Lightwall 2P 90 mm ~80 m² (conceito mezanino: telhado apoia só no perímetro)</t>
  </si>
  <si>
    <t xml:space="preserve">Lajes</t>
  </si>
  <si>
    <t xml:space="preserve">Vigotas + EPS ~86 m² — SÓ pisos (superior, extensão, técnica). Não há laje de forro.</t>
  </si>
  <si>
    <t xml:space="preserve">Forro</t>
  </si>
  <si>
    <t xml:space="preserve">Madeira acompanhando o telhado ~45 m² (mezanino + vão duplo) · gesso+EPS nivelado ~47 m² (demais)</t>
  </si>
  <si>
    <t xml:space="preserve">Cobertura</t>
  </si>
  <si>
    <t xml:space="preserve">3 treliças galvanizadas a fogo @3,25 m (banzos paralelos h=0,40, degrau triangulado) + terças Ue 100 · ~1,0 t</t>
  </si>
  <si>
    <t xml:space="preserve">Faixa NE</t>
  </si>
  <si>
    <t xml:space="preserve">Área de luz descoberta até a fachada, dividida em 2 por parede cega: Luz 1 = jardim de inverno c/ parede verde e janelão 3,50; Luz 2 = varal/serve a lavanderia</t>
  </si>
  <si>
    <t xml:space="preserve">Fundação</t>
  </si>
  <si>
    <t xml:space="preserve">Radier ~103 m²</t>
  </si>
  <si>
    <t xml:space="preserve">COMO USAR</t>
  </si>
  <si>
    <t xml:space="preserve">Esta planilha é um EXPORT do painel de obra e é regerada a cada cotação lançada no site. Edições feitas aqui serão perdidas na próxima geração — lance tudo pelo site (pvizioli.github.io/projeto_casa_pedro) para que vire commit e volte para cá.</t>
  </si>
  <si>
    <t xml:space="preserve">ETAPAS DA OBRA — 13 FASES</t>
  </si>
  <si>
    <t xml:space="preserve">#</t>
  </si>
  <si>
    <t xml:space="preserve">Etapa</t>
  </si>
  <si>
    <t xml:space="preserve">Estim. baixa</t>
  </si>
  <si>
    <t xml:space="preserve">Estim. alta</t>
  </si>
  <si>
    <t xml:space="preserve">Média</t>
  </si>
  <si>
    <t xml:space="preserve">% do total</t>
  </si>
  <si>
    <t xml:space="preserve">Status</t>
  </si>
  <si>
    <t xml:space="preserve">Avanço</t>
  </si>
  <si>
    <t xml:space="preserve">Custo real</t>
  </si>
  <si>
    <t xml:space="preserve">Cotado</t>
  </si>
  <si>
    <t xml:space="preserve">Δ vs. alta</t>
  </si>
  <si>
    <t xml:space="preserve">Observação</t>
  </si>
  <si>
    <t xml:space="preserve">Projetos, sondagem e aprovações</t>
  </si>
  <si>
    <t xml:space="preserve">não iniciada</t>
  </si>
  <si>
    <t xml:space="preserve">arq., estrutural, complementares, SPT, ART, condomínio</t>
  </si>
  <si>
    <t xml:space="preserve">Fundação — radier 103 m²</t>
  </si>
  <si>
    <t xml:space="preserve">inclui eletroduto da ilha e hidráulica embutida</t>
  </si>
  <si>
    <t xml:space="preserve">Estrutura metálica</t>
  </si>
  <si>
    <t xml:space="preserve">vigas (portão, testada 7,30, balanço sacada) + escada aberta</t>
  </si>
  <si>
    <t xml:space="preserve">Paredes: Monolev (estrutural) + divisórias Lightwall</t>
  </si>
  <si>
    <t xml:space="preserve">Monolev ~340 m² líq. (perímetro/estruturais + térreo) · divisórias internas do superior ~80 m² em Lightwall 2P 90 mm (conceito mezanino: só o perímetro segura o telhado) · juntas dissimilares Monolev↔Lightwall c/ tela + basecoat</t>
  </si>
  <si>
    <t xml:space="preserve">Lajes de PISO (superior + sacada + técnica)</t>
  </si>
  <si>
    <t xml:space="preserve">86 m² vigotas + EPS + capa — apenas pisos estruturais; NÃO há laje de forro</t>
  </si>
  <si>
    <t xml:space="preserve">Cobertura + lanternim</t>
  </si>
  <si>
    <t xml:space="preserve">estrutura, telha sanduíche, vidro/básculas, rufos e calhas</t>
  </si>
  <si>
    <t xml:space="preserve">Esquadrias e vidros</t>
  </si>
  <si>
    <t xml:space="preserve">inclui janelão espelhado, porta balcão 3,5 m e da suíte 7 m</t>
  </si>
  <si>
    <t xml:space="preserve">Hidráulica + água quente + prep. PV</t>
  </si>
  <si>
    <t xml:space="preserve">bomba de calor, boiler 400 L, pressurização, PEX/manifold</t>
  </si>
  <si>
    <t xml:space="preserve">Elétrica + automação + rede</t>
  </si>
  <si>
    <t xml:space="preserve">trifásico, Home Assistant, câmeras, 220 V nos cômodos</t>
  </si>
  <si>
    <t xml:space="preserve">Climatização</t>
  </si>
  <si>
    <t xml:space="preserve">multi-split tri + split sala + destratificador, R-32</t>
  </si>
  <si>
    <t xml:space="preserve">Acabamentos resinados (sem porcelanato)</t>
  </si>
  <si>
    <t xml:space="preserve">resinados + carpete de pedra + microcimento · forro gesso+EPS ~47 m² (quartos/copa/banheiros/corredor) · forro de MADEIRA ~45 m² acompanhando o telhado (mezanino + vão duplo)</t>
  </si>
  <si>
    <t xml:space="preserve">Gourmet (Invisacook, bancada, churrasqueira)</t>
  </si>
  <si>
    <t xml:space="preserve">porcelanato sinterizado, cooktop gás externo</t>
  </si>
  <si>
    <t xml:space="preserve">Canteiro, limpeza e imprevistos (~8%)</t>
  </si>
  <si>
    <t xml:space="preserve">reserva técnica</t>
  </si>
  <si>
    <t xml:space="preserve">TOTAL</t>
  </si>
  <si>
    <t xml:space="preserve">100%</t>
  </si>
  <si>
    <t xml:space="preserve">CATÁLOGO DE ITENS COTÁVEIS</t>
  </si>
  <si>
    <t xml:space="preserve">Base do formulário de cotação do site. Quantidades = memória de cálculo do projeto.</t>
  </si>
  <si>
    <t xml:space="preserve">ID</t>
  </si>
  <si>
    <t xml:space="preserve">Categoria</t>
  </si>
  <si>
    <t xml:space="preserve">Item</t>
  </si>
  <si>
    <t xml:space="preserve">Especificação</t>
  </si>
  <si>
    <t xml:space="preserve">Un</t>
  </si>
  <si>
    <t xml:space="preserve">Qtde</t>
  </si>
  <si>
    <t xml:space="preserve">Nº cotações</t>
  </si>
  <si>
    <t xml:space="preserve">Melhor preço unit.</t>
  </si>
  <si>
    <t xml:space="preserve">Melhor total</t>
  </si>
  <si>
    <t xml:space="preserve">IT001</t>
  </si>
  <si>
    <t xml:space="preserve">Geral / Estrutura</t>
  </si>
  <si>
    <t xml:space="preserve">Painéis EPS (Monolev) — parede líquida ESTRUTURAL (perímetro + térreo)</t>
  </si>
  <si>
    <t xml:space="preserve">divisórias do superior migradas p/ Lightwall (conceito mezanino)</t>
  </si>
  <si>
    <t xml:space="preserve">IT002</t>
  </si>
  <si>
    <t xml:space="preserve">Argamassa projetada estrutural (2 faces)</t>
  </si>
  <si>
    <t xml:space="preserve">2 faces × 340 m²</t>
  </si>
  <si>
    <t xml:space="preserve">IT003</t>
  </si>
  <si>
    <t xml:space="preserve">Telas/acessórios de reforço (cantos, vãos)</t>
  </si>
  <si>
    <t xml:space="preserve">vb</t>
  </si>
  <si>
    <t xml:space="preserve">verba — cotar no pacote do painel</t>
  </si>
  <si>
    <t xml:space="preserve">IT004</t>
  </si>
  <si>
    <t xml:space="preserve">Laje vigotas + EPS — PISO do superior + técnica (estrutural)</t>
  </si>
  <si>
    <t xml:space="preserve">inclui capa de concreto · é o piso, não forro</t>
  </si>
  <si>
    <t xml:space="preserve">IT005</t>
  </si>
  <si>
    <t xml:space="preserve">Radier (fundação)</t>
  </si>
  <si>
    <t xml:space="preserve">casa 95 + extensão garagem 8</t>
  </si>
  <si>
    <t xml:space="preserve">IT006</t>
  </si>
  <si>
    <t xml:space="preserve">Vigas metálicas: testada da laje (7,30 livre, SEM pilar) + balanço da sacada 2,50</t>
  </si>
  <si>
    <t xml:space="preserve">perfis I + engaste sob a suíte — projeto estrutural</t>
  </si>
  <si>
    <t xml:space="preserve">IT007</t>
  </si>
  <si>
    <t xml:space="preserve">Estrutura metálica da cobertura — 3 treliças galvanizadas a fogo + terças/contrav. Z275</t>
  </si>
  <si>
    <t xml:space="preserve">3 treliças banzos paralelos h=0,40 @3,25 (vão 7,30, degrau triangulado no lanternim): banzos tubo 50×50×2,00 · diagonais 30×30×2,00 · ~72 kg/un · terças Ue100×50×17×2,00 4 linhas @1,33/0,98 · contrav. Ø12 + esticador · vigotas Ue150 @1,25 sobre serviço · ~0,95-1,15 t</t>
  </si>
  <si>
    <t xml:space="preserve">treliças soldadas em fábrica e galvanizadas a fogo INTEIRAS, parafusadas em obra (tubos c/ furo de dreno) · oitões NO/SE apoiam direto na parede · plenum de 0,40 entre banzos p/ ventilador, luminárias e linhas do split · ver F-07/F-08/F-09</t>
  </si>
  <si>
    <t xml:space="preserve">IT008</t>
  </si>
  <si>
    <t xml:space="preserve">Telha sanduíche EPS</t>
  </si>
  <si>
    <t xml:space="preserve">não cobre a faixa de luz (9,70 × 1,20 descoberta)</t>
  </si>
  <si>
    <t xml:space="preserve">IT009</t>
  </si>
  <si>
    <t xml:space="preserve">Lanternim — vidro laminado/policarbonato + básculas</t>
  </si>
  <si>
    <t xml:space="preserve">13 m × 0,90</t>
  </si>
  <si>
    <t xml:space="preserve">IT010</t>
  </si>
  <si>
    <t xml:space="preserve">Rufos, calhas e arremates do lanternim</t>
  </si>
  <si>
    <t xml:space="preserve">ponto crítico de estanqueidade</t>
  </si>
  <si>
    <t xml:space="preserve">IT011</t>
  </si>
  <si>
    <t xml:space="preserve">Guarda-corpos (mezanino, corredor, escada)</t>
  </si>
  <si>
    <t xml:space="preserve">m</t>
  </si>
  <si>
    <t xml:space="preserve">metálico/vidro — definir</t>
  </si>
  <si>
    <t xml:space="preserve">IT012</t>
  </si>
  <si>
    <t xml:space="preserve">Escada metálica aberta (fachada norte)</t>
  </si>
  <si>
    <t xml:space="preserve">estrutura + degraus</t>
  </si>
  <si>
    <t xml:space="preserve">IT013</t>
  </si>
  <si>
    <t xml:space="preserve">Esquadrias (janelas, porta balcão, portas)</t>
  </si>
  <si>
    <t xml:space="preserve">detalhar por vão</t>
  </si>
  <si>
    <t xml:space="preserve">IT014</t>
  </si>
  <si>
    <t xml:space="preserve">Elétrica + automação — ver aba Elétrica</t>
  </si>
  <si>
    <t xml:space="preserve">quantitativo detalhado na aba própria</t>
  </si>
  <si>
    <t xml:space="preserve">IT015</t>
  </si>
  <si>
    <t xml:space="preserve">Impermeabilizações (banheiros, laje técnica)</t>
  </si>
  <si>
    <t xml:space="preserve">CRÍTICO: banheiros sem box drenam pela camada de pedra — impermeabilizar TODO o piso c/ caimento ao ralo oculto</t>
  </si>
  <si>
    <t xml:space="preserve">IT016</t>
  </si>
  <si>
    <t xml:space="preserve">Hidráulica completa + preparação PV</t>
  </si>
  <si>
    <t xml:space="preserve">ver aba Hidráulica</t>
  </si>
  <si>
    <t xml:space="preserve">IT017</t>
  </si>
  <si>
    <t xml:space="preserve">Sondagem SPT (2–3 furos) + projetos complementares</t>
  </si>
  <si>
    <t xml:space="preserve">fazer ANTES do projeto de fundação</t>
  </si>
  <si>
    <t xml:space="preserve">IT018</t>
  </si>
  <si>
    <t xml:space="preserve">Climatização — ver aba Climatização</t>
  </si>
  <si>
    <t xml:space="preserve">infra elétrica dos 5 pontos já na aba Elétrica</t>
  </si>
  <si>
    <t xml:space="preserve">IT019</t>
  </si>
  <si>
    <t xml:space="preserve">Laje da sacada/varanda (vigotas + EPS + capa)</t>
  </si>
  <si>
    <t xml:space="preserve">sobre vigas metálicas em balanço</t>
  </si>
  <si>
    <t xml:space="preserve">IT020</t>
  </si>
  <si>
    <t xml:space="preserve">Impermeabilização do piso da extensão (sobre varanda aberta)</t>
  </si>
  <si>
    <t xml:space="preserve">varanda gourmet abaixo</t>
  </si>
  <si>
    <t xml:space="preserve">IT021</t>
  </si>
  <si>
    <t xml:space="preserve">Mureta + envidraçamento da extensão da suíte (vidro até o forro)</t>
  </si>
  <si>
    <t xml:space="preserve">perímetro 12,3 m × ~1,7 m de vidro sobre mureta</t>
  </si>
  <si>
    <t xml:space="preserve">IT022</t>
  </si>
  <si>
    <t xml:space="preserve">Forro da extensão da suíte (esconde o V do telhado)</t>
  </si>
  <si>
    <t xml:space="preserve">gesso/PVC sobre a extensão · suíte integrada, sem porta</t>
  </si>
  <si>
    <t xml:space="preserve">IT023</t>
  </si>
  <si>
    <t xml:space="preserve">Churrasqueira + chaminé acima da cobertura</t>
  </si>
  <si>
    <t xml:space="preserve">canto leste da varanda</t>
  </si>
  <si>
    <t xml:space="preserve">IT024</t>
  </si>
  <si>
    <t xml:space="preserve">Cooktop a gás externo + abrigo P13 + kit instalação</t>
  </si>
  <si>
    <t xml:space="preserve">redundância — gás só na varanda</t>
  </si>
  <si>
    <t xml:space="preserve">IT025</t>
  </si>
  <si>
    <t xml:space="preserve">Bancada ilha: porcelanato sinterizado 12 mm + rebaixo italiano</t>
  </si>
  <si>
    <t xml:space="preserve">quartzo/resina NÃO compatível c/ Invisacook</t>
  </si>
  <si>
    <t xml:space="preserve">IT026</t>
  </si>
  <si>
    <t xml:space="preserve">Invisacook 4 zonas + acessórios (mantas, indicadores)</t>
  </si>
  <si>
    <t xml:space="preserve">un</t>
  </si>
  <si>
    <t xml:space="preserve">circuito 40 A na aba Elétrica</t>
  </si>
  <si>
    <t xml:space="preserve">IT027</t>
  </si>
  <si>
    <t xml:space="preserve">Janelão vertical fachada noroeste (vidro laminado) + película espelhada</t>
  </si>
  <si>
    <t xml:space="preserve">parede da escada · ~2,2 × 4,70 m · peitoril 1,00 · caixilho estruturado</t>
  </si>
  <si>
    <t xml:space="preserve">IT028</t>
  </si>
  <si>
    <t xml:space="preserve">Hidráulica</t>
  </si>
  <si>
    <t xml:space="preserve">Tubo PEX 20 mm (água quente)</t>
  </si>
  <si>
    <t xml:space="preserve">PEX-A c/ barreira anti-O₂</t>
  </si>
  <si>
    <t xml:space="preserve">ramais quentes + anel de recirculação</t>
  </si>
  <si>
    <t xml:space="preserve">IT029</t>
  </si>
  <si>
    <t xml:space="preserve">Isolamento térmico p/ PEX 20 mm</t>
  </si>
  <si>
    <t xml:space="preserve">polietileno exp. 10 mm parede</t>
  </si>
  <si>
    <t xml:space="preserve">obrigatório em 100% da linha quente</t>
  </si>
  <si>
    <t xml:space="preserve">IT030</t>
  </si>
  <si>
    <t xml:space="preserve">Tubo PEX 16/20 mm (água fria)</t>
  </si>
  <si>
    <t xml:space="preserve">PEX-A</t>
  </si>
  <si>
    <t xml:space="preserve">ramais frios ponto a ponto (manifold)</t>
  </si>
  <si>
    <t xml:space="preserve">IT031</t>
  </si>
  <si>
    <t xml:space="preserve">Tubo PPR PN25 32 mm</t>
  </si>
  <si>
    <t xml:space="preserve">barrilete caixa→pressurizador→manifolds/boiler</t>
  </si>
  <si>
    <t xml:space="preserve">IT032</t>
  </si>
  <si>
    <t xml:space="preserve">Tubo PPR PN25 28 mm</t>
  </si>
  <si>
    <t xml:space="preserve">circuito bomba de calor ↔ boiler</t>
  </si>
  <si>
    <t xml:space="preserve">isolar também</t>
  </si>
  <si>
    <t xml:space="preserve">IT033</t>
  </si>
  <si>
    <t xml:space="preserve">Isolamento p/ PPR 28/32 mm</t>
  </si>
  <si>
    <t xml:space="preserve">polietileno exp.</t>
  </si>
  <si>
    <t xml:space="preserve">IT034</t>
  </si>
  <si>
    <t xml:space="preserve">Tubo PVC soldável 25 mm</t>
  </si>
  <si>
    <t xml:space="preserve">alimentação da caixa + torneiras jardim/garagem</t>
  </si>
  <si>
    <t xml:space="preserve">IT035</t>
  </si>
  <si>
    <t xml:space="preserve">Tubo PVC esgoto 100 mm</t>
  </si>
  <si>
    <t xml:space="preserve">prumadas de vasos + ventilação</t>
  </si>
  <si>
    <t xml:space="preserve">2 prumadas + coletor</t>
  </si>
  <si>
    <t xml:space="preserve">IT036</t>
  </si>
  <si>
    <t xml:space="preserve">Tubo PVC esgoto 50 mm</t>
  </si>
  <si>
    <t xml:space="preserve">chuveiros, ralos, tanque, máquina</t>
  </si>
  <si>
    <t xml:space="preserve">IT037</t>
  </si>
  <si>
    <t xml:space="preserve">Tubo PVC esgoto 40 mm</t>
  </si>
  <si>
    <t xml:space="preserve">lavatórios, pias, dreno boiler/copa</t>
  </si>
  <si>
    <t xml:space="preserve">IT038</t>
  </si>
  <si>
    <t xml:space="preserve">Tubo PVC pluvial 88 mm</t>
  </si>
  <si>
    <t xml:space="preserve">condutores das calhas</t>
  </si>
  <si>
    <t xml:space="preserve">2 descidas</t>
  </si>
  <si>
    <t xml:space="preserve">IT039</t>
  </si>
  <si>
    <t xml:space="preserve">Conexões esgoto/pluvial (kit)</t>
  </si>
  <si>
    <t xml:space="preserve">joelhos, tês, junções, terminais vent.</t>
  </si>
  <si>
    <t xml:space="preserve">IT040</t>
  </si>
  <si>
    <t xml:space="preserve">Caixa sifonada 150 mm</t>
  </si>
  <si>
    <t xml:space="preserve">banheiros, lavanderia, copa</t>
  </si>
  <si>
    <t xml:space="preserve">IT041</t>
  </si>
  <si>
    <t xml:space="preserve">Ralo linear oculto (inox)</t>
  </si>
  <si>
    <t xml:space="preserve">banheiros sem box — sob carpete de pedra drenante</t>
  </si>
  <si>
    <t xml:space="preserve">suíte, banheiro do quarto e banheiro térreo · caimento 2% na impermeabilização</t>
  </si>
  <si>
    <t xml:space="preserve">IT042</t>
  </si>
  <si>
    <t xml:space="preserve">Caixa de gordura</t>
  </si>
  <si>
    <t xml:space="preserve">cozinha</t>
  </si>
  <si>
    <t xml:space="preserve">IT043</t>
  </si>
  <si>
    <t xml:space="preserve">Caixa de inspeção esgoto</t>
  </si>
  <si>
    <t xml:space="preserve">quintal → rede do condomínio</t>
  </si>
  <si>
    <t xml:space="preserve">IT044</t>
  </si>
  <si>
    <t xml:space="preserve">Manifold água fria c/ registros</t>
  </si>
  <si>
    <t xml:space="preserve">12 saídas, latão/inox</t>
  </si>
  <si>
    <t xml:space="preserve">na área técnica</t>
  </si>
  <si>
    <t xml:space="preserve">IT045</t>
  </si>
  <si>
    <t xml:space="preserve">Manifold água quente c/ registros</t>
  </si>
  <si>
    <t xml:space="preserve">8 saídas</t>
  </si>
  <si>
    <t xml:space="preserve">IT046</t>
  </si>
  <si>
    <t xml:space="preserve">Conexões PEX</t>
  </si>
  <si>
    <t xml:space="preserve">joelhos, tês, adaptadores de engate</t>
  </si>
  <si>
    <t xml:space="preserve">IT047</t>
  </si>
  <si>
    <t xml:space="preserve">Conexões PPR diversas</t>
  </si>
  <si>
    <t xml:space="preserve">joelhos, tês, luvas, uniões</t>
  </si>
  <si>
    <t xml:space="preserve">IT048</t>
  </si>
  <si>
    <t xml:space="preserve">Registro de esfera metálico 3/4"</t>
  </si>
  <si>
    <t xml:space="preserve">setorização por ambiente</t>
  </si>
  <si>
    <t xml:space="preserve">IT049</t>
  </si>
  <si>
    <t xml:space="preserve">Válvula de retenção</t>
  </si>
  <si>
    <t xml:space="preserve">entrada caixa, fria, quente</t>
  </si>
  <si>
    <t xml:space="preserve">IT050</t>
  </si>
  <si>
    <t xml:space="preserve">Misturadora termostática central</t>
  </si>
  <si>
    <t xml:space="preserve">saída do boiler, limite ~50 °C</t>
  </si>
  <si>
    <t xml:space="preserve">anti-escaldo</t>
  </si>
  <si>
    <t xml:space="preserve">IT051</t>
  </si>
  <si>
    <t xml:space="preserve">Válvula de alívio P&amp;T + dreno conduzido</t>
  </si>
  <si>
    <t xml:space="preserve">obrigatória no boiler</t>
  </si>
  <si>
    <t xml:space="preserve">IT052</t>
  </si>
  <si>
    <t xml:space="preserve">Vaso de expansão água quente 18–24 L</t>
  </si>
  <si>
    <t xml:space="preserve">IT053</t>
  </si>
  <si>
    <t xml:space="preserve">Filtro de entrada (cavalete)</t>
  </si>
  <si>
    <t xml:space="preserve">IT054</t>
  </si>
  <si>
    <t xml:space="preserve">Bomba de calor AQS</t>
  </si>
  <si>
    <t xml:space="preserve">~5 kW térmico, COP ≥ 3,5, Wi-Fi</t>
  </si>
  <si>
    <t xml:space="preserve">unidade externa no poço de luz</t>
  </si>
  <si>
    <t xml:space="preserve">IT055</t>
  </si>
  <si>
    <t xml:space="preserve">Boiler inox alta pressão 400 L</t>
  </si>
  <si>
    <t xml:space="preserve">c/ resistência de apoio e anodo</t>
  </si>
  <si>
    <t xml:space="preserve">na área técnica, c/ 60 cm livres</t>
  </si>
  <si>
    <t xml:space="preserve">IT056</t>
  </si>
  <si>
    <t xml:space="preserve">Sistema de pressurização</t>
  </si>
  <si>
    <t xml:space="preserve">bomba + vaso de expansão (ou pressurizador de linha)</t>
  </si>
  <si>
    <t xml:space="preserve">antes da bifurcação fria/quente</t>
  </si>
  <si>
    <t xml:space="preserve">IT057</t>
  </si>
  <si>
    <t xml:space="preserve">Bomba de recirculação c/ acionamento por demanda</t>
  </si>
  <si>
    <t xml:space="preserve">+ timer/relé p/ automação</t>
  </si>
  <si>
    <t xml:space="preserve">retorno da suíte</t>
  </si>
  <si>
    <t xml:space="preserve">IT058</t>
  </si>
  <si>
    <t xml:space="preserve">Caixa d'água 1.000 L</t>
  </si>
  <si>
    <t xml:space="preserve">c/ bóia, extravasor e limpeza</t>
  </si>
  <si>
    <t xml:space="preserve">IT059</t>
  </si>
  <si>
    <t xml:space="preserve">Purificador cozinha + ponto bebedouro copa</t>
  </si>
  <si>
    <t xml:space="preserve">copa: prever dreno</t>
  </si>
  <si>
    <t xml:space="preserve">IT060</t>
  </si>
  <si>
    <t xml:space="preserve">Eletroduto 32 mm telhado → área técnica</t>
  </si>
  <si>
    <t xml:space="preserve">c/ caixas de passagem e arame-guia</t>
  </si>
  <si>
    <t xml:space="preserve">desce pelo shaft da técnica</t>
  </si>
  <si>
    <t xml:space="preserve">IT061</t>
  </si>
  <si>
    <t xml:space="preserve">QDC c/ reserva p/ inversor</t>
  </si>
  <si>
    <t xml:space="preserve">espaço + disjuntor bidirecional futuro</t>
  </si>
  <si>
    <t xml:space="preserve">IT062</t>
  </si>
  <si>
    <t xml:space="preserve">Aterramento reforçado / SPDA prep.</t>
  </si>
  <si>
    <t xml:space="preserve">hastes + cabo de descida</t>
  </si>
  <si>
    <t xml:space="preserve">estrutura metálica do telhado exige</t>
  </si>
  <si>
    <t xml:space="preserve">IT063</t>
  </si>
  <si>
    <t xml:space="preserve">Reforço de fixação na água oeste</t>
  </si>
  <si>
    <t xml:space="preserve">pontos de ancoragem previstos na estrutura</t>
  </si>
  <si>
    <t xml:space="preserve">painéis futuros na água alta</t>
  </si>
  <si>
    <t xml:space="preserve">IT064</t>
  </si>
  <si>
    <t xml:space="preserve">Elétrica + Automação</t>
  </si>
  <si>
    <t xml:space="preserve">Padrão de entrada trifásico</t>
  </si>
  <si>
    <t xml:space="preserve">poste/caixa padrão Enel SP, 3F+N, disjuntor geral 40–50 A</t>
  </si>
  <si>
    <t xml:space="preserve">dá 220 V fase-fase e 127 V fase-neutro</t>
  </si>
  <si>
    <t xml:space="preserve">IT065</t>
  </si>
  <si>
    <t xml:space="preserve">Alimentador medidor → QDC</t>
  </si>
  <si>
    <t xml:space="preserve">cabo 16 mm² (4 vias) + eletroduto 40 mm</t>
  </si>
  <si>
    <t xml:space="preserve">IT066</t>
  </si>
  <si>
    <t xml:space="preserve">QDC 32 circuitos c/ barramento trifásico</t>
  </si>
  <si>
    <t xml:space="preserve">embutir na área técnica</t>
  </si>
  <si>
    <t xml:space="preserve">reserva p/ inversor PV já prevista</t>
  </si>
  <si>
    <t xml:space="preserve">IT067</t>
  </si>
  <si>
    <t xml:space="preserve">Disjuntores DIN (mono e bifásicos)</t>
  </si>
  <si>
    <t xml:space="preserve">curvas B/C conforme circuito</t>
  </si>
  <si>
    <t xml:space="preserve">IT068</t>
  </si>
  <si>
    <t xml:space="preserve">IDR / DR 30 mA</t>
  </si>
  <si>
    <t xml:space="preserve">banheiros, áreas molhadas, externas, cozinha</t>
  </si>
  <si>
    <t xml:space="preserve">obrigatório NBR 5410</t>
  </si>
  <si>
    <t xml:space="preserve">IT069</t>
  </si>
  <si>
    <t xml:space="preserve">DPS classe II (F+F+F+N)</t>
  </si>
  <si>
    <t xml:space="preserve">no QDC</t>
  </si>
  <si>
    <t xml:space="preserve">telhado metálico: essencial</t>
  </si>
  <si>
    <t xml:space="preserve">IT070</t>
  </si>
  <si>
    <t xml:space="preserve">Aterramento</t>
  </si>
  <si>
    <t xml:space="preserve">3 hastes + cabo cobre nu 16 mm² + caixa inspeção</t>
  </si>
  <si>
    <t xml:space="preserve">integra c/ SPDA da cobertura</t>
  </si>
  <si>
    <t xml:space="preserve">IT071</t>
  </si>
  <si>
    <t xml:space="preserve">Eletroduto corrugado reforçado 25 mm</t>
  </si>
  <si>
    <t xml:space="preserve">sulcos no EPS c/ soprador térmico</t>
  </si>
  <si>
    <t xml:space="preserve">IT072</t>
  </si>
  <si>
    <t xml:space="preserve">Eletroduto corrugado 32 mm</t>
  </si>
  <si>
    <t xml:space="preserve">circuitos 220 V, AC e troncos</t>
  </si>
  <si>
    <t xml:space="preserve">IT073</t>
  </si>
  <si>
    <t xml:space="preserve">Caixa 4×2 (tomadas/interruptores)</t>
  </si>
  <si>
    <t xml:space="preserve">IT074</t>
  </si>
  <si>
    <t xml:space="preserve">Caixa 4×4</t>
  </si>
  <si>
    <t xml:space="preserve">pontos duplos, automação, rede</t>
  </si>
  <si>
    <t xml:space="preserve">interruptores smart pedem folga</t>
  </si>
  <si>
    <t xml:space="preserve">IT075</t>
  </si>
  <si>
    <t xml:space="preserve">Caixa octogonal/teto</t>
  </si>
  <si>
    <t xml:space="preserve">pontos de luz</t>
  </si>
  <si>
    <t xml:space="preserve">IT076</t>
  </si>
  <si>
    <t xml:space="preserve">Quadro de passagem / shaft técnica</t>
  </si>
  <si>
    <t xml:space="preserve">organização das descidas</t>
  </si>
  <si>
    <t xml:space="preserve">IT077</t>
  </si>
  <si>
    <t xml:space="preserve">Cabo flexível 1,5 mm²</t>
  </si>
  <si>
    <t xml:space="preserve">iluminação</t>
  </si>
  <si>
    <t xml:space="preserve">IT078</t>
  </si>
  <si>
    <t xml:space="preserve">Cabo flexível 2,5 mm²</t>
  </si>
  <si>
    <t xml:space="preserve">tomadas de uso geral 127 V</t>
  </si>
  <si>
    <t xml:space="preserve">IT079</t>
  </si>
  <si>
    <t xml:space="preserve">Cabo flexível 4,0 mm²</t>
  </si>
  <si>
    <t xml:space="preserve">tomadas 220 V + circuitos AC</t>
  </si>
  <si>
    <t xml:space="preserve">IT080</t>
  </si>
  <si>
    <t xml:space="preserve">Cabo flexível 6,0 mm²</t>
  </si>
  <si>
    <t xml:space="preserve">cooktop indução, bomba de calor, forno</t>
  </si>
  <si>
    <t xml:space="preserve">todos 220 V dedicados</t>
  </si>
  <si>
    <t xml:space="preserve">IT081</t>
  </si>
  <si>
    <t xml:space="preserve">Cabo PP / bitolas especiais</t>
  </si>
  <si>
    <t xml:space="preserve">pressurizador, recirculadora, portão</t>
  </si>
  <si>
    <t xml:space="preserve">IT082</t>
  </si>
  <si>
    <t xml:space="preserve">Tomadas 2P+T 10 A — 127 V</t>
  </si>
  <si>
    <t xml:space="preserve">linha a definir</t>
  </si>
  <si>
    <t xml:space="preserve">IT083</t>
  </si>
  <si>
    <t xml:space="preserve">Tomadas 2P+T 20 A — 220 V</t>
  </si>
  <si>
    <t xml:space="preserve">identificadas (cor/etiqueta vermelha)</t>
  </si>
  <si>
    <t xml:space="preserve">2 por cômodo em média</t>
  </si>
  <si>
    <t xml:space="preserve">IT084</t>
  </si>
  <si>
    <t xml:space="preserve">Pontos de luz (teto/arandela/pendente)</t>
  </si>
  <si>
    <t xml:space="preserve">inclui pendentes do pé-direito duplo</t>
  </si>
  <si>
    <t xml:space="preserve">IT085</t>
  </si>
  <si>
    <t xml:space="preserve">Fita LED + perfil alumínio</t>
  </si>
  <si>
    <t xml:space="preserve">sancas, closet, copa, escada</t>
  </si>
  <si>
    <t xml:space="preserve">IT086</t>
  </si>
  <si>
    <t xml:space="preserve">Interruptores (bases p/ smart)</t>
  </si>
  <si>
    <t xml:space="preserve">ver seção 6</t>
  </si>
  <si>
    <t xml:space="preserve">IT087</t>
  </si>
  <si>
    <t xml:space="preserve">Circuitos dedicados 220 V p/ AC</t>
  </si>
  <si>
    <t xml:space="preserve">ponto + dreno + tomada</t>
  </si>
  <si>
    <t xml:space="preserve">infra pronta; aparelhos em outra sessão</t>
  </si>
  <si>
    <t xml:space="preserve">IT088</t>
  </si>
  <si>
    <t xml:space="preserve">Tomadas externas IP55</t>
  </si>
  <si>
    <t xml:space="preserve">quintal, jardim, área de luz, garagem</t>
  </si>
  <si>
    <t xml:space="preserve">em circuito c/ DR</t>
  </si>
  <si>
    <t xml:space="preserve">IT089</t>
  </si>
  <si>
    <t xml:space="preserve">Cabo CAT6</t>
  </si>
  <si>
    <t xml:space="preserve">pontos fixos + câmeras + APs</t>
  </si>
  <si>
    <t xml:space="preserve">IT090</t>
  </si>
  <si>
    <t xml:space="preserve">Pontos de rede (RJ45 duplos)</t>
  </si>
  <si>
    <t xml:space="preserve">TVs, escritório/mezanino, copa, técnica</t>
  </si>
  <si>
    <t xml:space="preserve">IT091</t>
  </si>
  <si>
    <t xml:space="preserve">Rack 6U + patch panel + organizador</t>
  </si>
  <si>
    <t xml:space="preserve">IT092</t>
  </si>
  <si>
    <t xml:space="preserve">Switch PoE 16 portas</t>
  </si>
  <si>
    <t xml:space="preserve">alimenta câmeras e APs</t>
  </si>
  <si>
    <t xml:space="preserve">IT093</t>
  </si>
  <si>
    <t xml:space="preserve">Access points Wi-Fi 6</t>
  </si>
  <si>
    <t xml:space="preserve">térreo + superior</t>
  </si>
  <si>
    <t xml:space="preserve">EPS atenua pouco, 2 bastam</t>
  </si>
  <si>
    <t xml:space="preserve">IT094</t>
  </si>
  <si>
    <t xml:space="preserve">Câmeras IP PoE externas</t>
  </si>
  <si>
    <t xml:space="preserve">frente, viela, quintal, garagem</t>
  </si>
  <si>
    <t xml:space="preserve">IT095</t>
  </si>
  <si>
    <t xml:space="preserve">Videoporteiro IP</t>
  </si>
  <si>
    <t xml:space="preserve">sem muro: módulo na fachada/jardim</t>
  </si>
  <si>
    <t xml:space="preserve">IT096</t>
  </si>
  <si>
    <t xml:space="preserve">Fechadura eletrônica</t>
  </si>
  <si>
    <t xml:space="preserve">porta de entrada (garagem→sala)</t>
  </si>
  <si>
    <t xml:space="preserve">IT097</t>
  </si>
  <si>
    <t xml:space="preserve">Hub central (Home Assistant + coordenador Zigbee)</t>
  </si>
  <si>
    <t xml:space="preserve">mini PC ou appliance no rack</t>
  </si>
  <si>
    <t xml:space="preserve">controle local, sem dependência de nuvem</t>
  </si>
  <si>
    <t xml:space="preserve">IT098</t>
  </si>
  <si>
    <t xml:space="preserve">Interruptores inteligentes Zigbee/Matter</t>
  </si>
  <si>
    <t xml:space="preserve">c/ neutro, nas caixas 4×4</t>
  </si>
  <si>
    <t xml:space="preserve">IT099</t>
  </si>
  <si>
    <t xml:space="preserve">Módulos relé/dimmer</t>
  </si>
  <si>
    <t xml:space="preserve">fitas LED, pendentes, cenas</t>
  </si>
  <si>
    <t xml:space="preserve">IT100</t>
  </si>
  <si>
    <t xml:space="preserve">Sensores de presença/abertura</t>
  </si>
  <si>
    <t xml:space="preserve">circulações, escada, entrada</t>
  </si>
  <si>
    <t xml:space="preserve">escada aberta: luz automática</t>
  </si>
  <si>
    <t xml:space="preserve">IT101</t>
  </si>
  <si>
    <t xml:space="preserve">Termostatos/controle IR p/ AC</t>
  </si>
  <si>
    <t xml:space="preserve">integração dos 5 ambientes</t>
  </si>
  <si>
    <t xml:space="preserve">IT102</t>
  </si>
  <si>
    <t xml:space="preserve">Integrações técnicas</t>
  </si>
  <si>
    <t xml:space="preserve">bomba de calor Wi-Fi, recirculação, pressurizador, básculas do lanternim</t>
  </si>
  <si>
    <t xml:space="preserve">relés no QDC/técnica</t>
  </si>
  <si>
    <t xml:space="preserve">IT103</t>
  </si>
  <si>
    <t xml:space="preserve">Estação meteo + sensor chuva</t>
  </si>
  <si>
    <t xml:space="preserve">automatiza básculas e irrigação futura</t>
  </si>
  <si>
    <t xml:space="preserve">IT104</t>
  </si>
  <si>
    <t xml:space="preserve">Cabo 10 mm² — circuito Invisacook 40 A</t>
  </si>
  <si>
    <t xml:space="preserve">ilha da cozinha, 220 V bifásico</t>
  </si>
  <si>
    <t xml:space="preserve">dedicado</t>
  </si>
  <si>
    <t xml:space="preserve">IT105</t>
  </si>
  <si>
    <t xml:space="preserve">Eletroduto 32 mm embutido no RADIER → ilha</t>
  </si>
  <si>
    <t xml:space="preserve">posicionar ANTES da concretagem</t>
  </si>
  <si>
    <t xml:space="preserve">ponto sem retorno</t>
  </si>
  <si>
    <t xml:space="preserve">IT106</t>
  </si>
  <si>
    <t xml:space="preserve">Disjuntor bifásico 40 A + conexão na ilha</t>
  </si>
  <si>
    <t xml:space="preserve">IT107</t>
  </si>
  <si>
    <t xml:space="preserve">Circuitos varanda gourmet (luz + tomadas IP55 + 220 V)</t>
  </si>
  <si>
    <t xml:space="preserve">inclui ponto p/ equipamentos</t>
  </si>
  <si>
    <t xml:space="preserve">IT108</t>
  </si>
  <si>
    <t xml:space="preserve">Condensadora multi-split tri inverter R-32</t>
  </si>
  <si>
    <t xml:space="preserve">~27.000 BTU, Wi-Fi/Matter</t>
  </si>
  <si>
    <t xml:space="preserve">suíte + quarto + reserva mezanino · alto do poço de luz c/ defletores</t>
  </si>
  <si>
    <t xml:space="preserve">IT109</t>
  </si>
  <si>
    <t xml:space="preserve">Evaporadora hi-wall 9.000 BTU (multi)</t>
  </si>
  <si>
    <t xml:space="preserve">quente/frio</t>
  </si>
  <si>
    <t xml:space="preserve">suíte e quarto — fluxo fora da cama</t>
  </si>
  <si>
    <t xml:space="preserve">IT110</t>
  </si>
  <si>
    <t xml:space="preserve">Split independente da sala 18–22.000 BTU</t>
  </si>
  <si>
    <t xml:space="preserve">piso-teto ou hi-wall a ~2,5 m</t>
  </si>
  <si>
    <t xml:space="preserve">parede da cozinha, quente/frio</t>
  </si>
  <si>
    <t xml:space="preserve">IT111</t>
  </si>
  <si>
    <t xml:space="preserve">Ventilador de teto destratificador c/ reversão</t>
  </si>
  <si>
    <t xml:space="preserve">no vão duplo</t>
  </si>
  <si>
    <t xml:space="preserve">inverno: devolve o ar quente p/ baixo</t>
  </si>
  <si>
    <t xml:space="preserve">IT112</t>
  </si>
  <si>
    <t xml:space="preserve">Linha frigorígena 1/4"+3/8" isolada</t>
  </si>
  <si>
    <t xml:space="preserve">pares suíte/quarto/mezanino (seca)</t>
  </si>
  <si>
    <t xml:space="preserve">embutir no EPS ANTES do reboco</t>
  </si>
  <si>
    <t xml:space="preserve">IT113</t>
  </si>
  <si>
    <t xml:space="preserve">Linha frigorígena 1/4"+1/2" isolada</t>
  </si>
  <si>
    <t xml:space="preserve">sala</t>
  </si>
  <si>
    <t xml:space="preserve">IT114</t>
  </si>
  <si>
    <t xml:space="preserve">Suportes, calços antivibração e defletores</t>
  </si>
  <si>
    <t xml:space="preserve">cj</t>
  </si>
  <si>
    <t xml:space="preserve">IT115</t>
  </si>
  <si>
    <t xml:space="preserve">Drenos PVC 25 mm c/ sifão</t>
  </si>
  <si>
    <t xml:space="preserve">conduzidos ao esgoto/área de luz</t>
  </si>
  <si>
    <t xml:space="preserve">nunca pingar na fachada</t>
  </si>
  <si>
    <t xml:space="preserve">IT116</t>
  </si>
  <si>
    <t xml:space="preserve">Vácuo, carga R-32 e mão de obra de instalação</t>
  </si>
  <si>
    <t xml:space="preserve">conferir limite de linha do multi (~15 m suíte)</t>
  </si>
  <si>
    <t xml:space="preserve">IT117</t>
  </si>
  <si>
    <t xml:space="preserve">Forro nivelado gesso acartonado + EPS — pav. superior (quartos, copa, banheiros, corredor)</t>
  </si>
  <si>
    <t xml:space="preserve">não acompanha a água do telhado · placas EPS sobre perfilado + gesso</t>
  </si>
  <si>
    <t xml:space="preserve">SEM o mezanino (forro de madeira) · embutir iluminação e sensores antes do fechamento · alçapões de inspeção</t>
  </si>
  <si>
    <t xml:space="preserve">IT118</t>
  </si>
  <si>
    <t xml:space="preserve">Forro de madeira acompanhando o telhado — mezanino + vão livre do pé-direito duplo</t>
  </si>
  <si>
    <t xml:space="preserve">lambril (cedrinho/pinus autoclavado) fixado sob as terças, acompanhando as duas águas</t>
  </si>
  <si>
    <t xml:space="preserve">item de conforto/estética premium · tratamento autoclave + verniz · recorte no lanternim · iluminação/ventilador destratificador fixados antes do fechamento</t>
  </si>
  <si>
    <t xml:space="preserve">IT119</t>
  </si>
  <si>
    <t xml:space="preserve">Divisórias internas Lightwall 2P 90 mm — pavimento superior completo</t>
  </si>
  <si>
    <t xml:space="preserve">painéis 2500/3000×610×90 · juntas c/ tela de fibra + basecoat · fixação à laje e à estrutura conforme manual (§8) · uso SVVIE homologado</t>
  </si>
  <si>
    <t xml:space="preserve">todas as internas do superior (mezanino, lavabo, banheiros, quarto, copa, corredor, closet, transversal da suíte) · hidráulica pesada em shaft (cava ≤ 50%) · juntas dissimilares Monolev↔Lightwall c/ tela 10 cm cada lado · içamento: painéis içados pelo vazio antes do fechamento</t>
  </si>
  <si>
    <t xml:space="preserve">IT120</t>
  </si>
  <si>
    <t xml:space="preserve">Portinha metálica de acesso à faixa de luz (jardim frontal → corredor NE)</t>
  </si>
  <si>
    <t xml:space="preserve">vão 1,20 × ~2,10 · recuada 0,80 da fachada · gradil/chapa perfurada c/ fechadura</t>
  </si>
  <si>
    <t xml:space="preserve">ÚNICO acesso à Luz 1 (jardim de inverno) — parede cega separa da Luz 2 · manutenção da parede verde e limpeza</t>
  </si>
  <si>
    <t xml:space="preserve">IT121</t>
  </si>
  <si>
    <t xml:space="preserve">Janelão da sala p/ jardim de inverno (parede NE) — vidro laminado</t>
  </si>
  <si>
    <t xml:space="preserve">~3,50 m de largura · sobe o pé-direito duplo · caixilho c/ folhas de ventilação</t>
  </si>
  <si>
    <t xml:space="preserve">face NE = sol da manhã filtrado · exposto à chuva (faixa descoberta): prever pingadeira e caimento</t>
  </si>
  <si>
    <t xml:space="preserve">IT122</t>
  </si>
  <si>
    <t xml:space="preserve">Parede verde / jardim vertical na divisa NE (Luz 1)</t>
  </si>
  <si>
    <t xml:space="preserve">~1,20 × 4,85 × h ~3 m ≈ 14 m² · painéis modulares ou treliça c/ trepadeiras</t>
  </si>
  <si>
    <t xml:space="preserve">CRÍTICO: impermeabilizar a divisa antes (umidade permanente) + barreira anti-raiz · irrigação automática c/ ponto de água e dreno próprio · manutenção pela portinha</t>
  </si>
  <si>
    <t xml:space="preserve">Data</t>
  </si>
  <si>
    <t xml:space="preserve">Item ID</t>
  </si>
  <si>
    <t xml:space="preserve">Fornecedor</t>
  </si>
  <si>
    <t xml:space="preserve">Preço unit.</t>
  </si>
  <si>
    <t xml:space="preserve">Total</t>
  </si>
  <si>
    <t xml:space="preserve">Melhor?</t>
  </si>
  <si>
    <t xml:space="preserve">Nenhuma cotação lançada ainda — use o formulário do site.</t>
  </si>
  <si>
    <t xml:space="preserve">COTADO × ESTIMADO POR ETAPA</t>
  </si>
  <si>
    <t xml:space="preserve">Real / cotado</t>
  </si>
  <si>
    <t xml:space="preserve">Situação</t>
  </si>
  <si>
    <t xml:space="preserve">HISTÓRICO DE REVISÕES DO PROJETO</t>
  </si>
  <si>
    <t xml:space="preserve">Alteração</t>
  </si>
  <si>
    <t xml:space="preserve">Impacto</t>
  </si>
  <si>
    <t xml:space="preserve">13/07/2026</t>
  </si>
  <si>
    <t xml:space="preserve">Versão inicial da planilha (13 etapas, 116 itens)</t>
  </si>
  <si>
    <t xml:space="preserve">Faixa R$ 498–764 mil</t>
  </si>
  <si>
    <t xml:space="preserve">Orientação corrigida: frente NOROESTE (não norte)</t>
  </si>
  <si>
    <t xml:space="preserve">Fachada frontal recebe sol da tarde — verificar conforto</t>
  </si>
  <si>
    <t xml:space="preserve">Janelão da escada c/ peitoril 1,00 m (2,2 × 4,70)</t>
  </si>
  <si>
    <t xml:space="preserve">Vidro 12 → 10,5 m²</t>
  </si>
  <si>
    <t xml:space="preserve">Vão da garagem em altura total (chão → laje), viga na testada</t>
  </si>
  <si>
    <t xml:space="preserve">Perfil da viga a validar (altura útil limitada)</t>
  </si>
  <si>
    <t xml:space="preserve">15/07/2026</t>
  </si>
  <si>
    <t xml:space="preserve">Esclarecido: lajes = SÓ pisos. Forro nivelado gesso+EPS incluído</t>
  </si>
  <si>
    <t xml:space="preserve">+47 m² de forro (antes ausente do orçamento)</t>
  </si>
  <si>
    <t xml:space="preserve">Forro de MADEIRA no mezanino/vão duplo acompanhando o telhado</t>
  </si>
  <si>
    <t xml:space="preserve">+45 m² · R$ 8–16 mil (item premium)</t>
  </si>
  <si>
    <t xml:space="preserve">Divisórias do superior migradas de Monolev p/ Lightwall 2P 90</t>
  </si>
  <si>
    <t xml:space="preserve">Monolev 421 → 340 m² · Etapa 4: R$ 120–170k → R$ 110–156k</t>
  </si>
  <si>
    <t xml:space="preserve">16/07/2026</t>
  </si>
  <si>
    <t xml:space="preserve">Faixa NE: área de luz até a fachada, portinha recuada 0,80</t>
  </si>
  <si>
    <t xml:space="preserve">Telha 105 → 98 m² · estrutura 100 → 95 m²</t>
  </si>
  <si>
    <t xml:space="preserve">Parede cega entre Luz 1 e Luz 2 · Luz 1 = jardim de inverno</t>
  </si>
  <si>
    <t xml:space="preserve">+14 m² parede verde · +12 m² janelão · impermeabilizar divisa</t>
  </si>
  <si>
    <t xml:space="preserve">Cobertura: pórticos de viga cheia → 3 TRELIÇAS @3,25 m</t>
  </si>
  <si>
    <t xml:space="preserve">Aço 1,4 t → ~1,0 t · degrau do lanternim triangulado</t>
  </si>
  <si>
    <t xml:space="preserve">Terças: 6 → 4 linhas e Ue 150 → Ue 100</t>
  </si>
  <si>
    <t xml:space="preserve">−170 kg · σ 61 MPa (24% de fy), flecha L/483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</si>
</sst>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&quot;R$ &quot;#,##0"/>
    <numFmt numFmtId="166" formatCode="0.0%"/>
    <numFmt numFmtId="167" formatCode="#,##0.00"/>
    <numFmt numFmtId="168" formatCode="&quot;R$ &quot;#,##0.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0E3A6B"/>
      <name val="Arial"/>
      <family val="0"/>
      <charset val="1"/>
    </font>
    <font>
      <i val="true"/>
      <sz val="9"/>
      <color rgb="FF5A6B7D"/>
      <name val="Arial"/>
      <family val="0"/>
      <charset val="1"/>
    </font>
    <font>
      <sz val="8"/>
      <color rgb="FF5A6B7D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1B2A3A"/>
      <name val="Arial"/>
      <family val="0"/>
      <charset val="1"/>
    </font>
    <font>
      <b val="true"/>
      <sz val="10"/>
      <color rgb="FF0E3A6B"/>
      <name val="Arial"/>
      <family val="0"/>
      <charset val="1"/>
    </font>
    <font>
      <b val="true"/>
      <sz val="11"/>
      <color rgb="FF0E3A6B"/>
      <name val="Arial"/>
      <family val="0"/>
      <charset val="1"/>
    </font>
    <font>
      <b val="true"/>
      <sz val="9"/>
      <color rgb="FF2E5E96"/>
      <name val="Arial"/>
      <family val="0"/>
      <charset val="1"/>
    </font>
    <font>
      <sz val="9"/>
      <name val="Arial"/>
      <family val="0"/>
      <charset val="1"/>
    </font>
    <font>
      <i val="true"/>
      <sz val="9"/>
      <color rgb="FFB8860B"/>
      <name val="Arial"/>
      <family val="0"/>
      <charset val="1"/>
    </font>
    <font>
      <b val="true"/>
      <sz val="13"/>
      <color rgb="FF0E3A6B"/>
      <name val="Arial"/>
      <family val="0"/>
      <charset val="1"/>
    </font>
    <font>
      <i val="true"/>
      <sz val="8"/>
      <color rgb="FF5A6B7D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E3A6B"/>
        <bgColor rgb="FF1B2A3A"/>
      </patternFill>
    </fill>
    <fill>
      <patternFill patternType="solid">
        <fgColor rgb="FFEEF4FB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7D8EC"/>
      </bottom>
      <diagonal/>
    </border>
    <border diagonalUp="false" diagonalDown="false">
      <left/>
      <right/>
      <top style="thin">
        <color rgb="FF0E3A6B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2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2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08080"/>
      <rgbColor rgb="FF9999FF"/>
      <rgbColor rgb="FF993366"/>
      <rgbColor rgb="FFEEF4FB"/>
      <rgbColor rgb="FFCCFFFF"/>
      <rgbColor rgb="FF660066"/>
      <rgbColor rgb="FFFF8080"/>
      <rgbColor rgb="FF2E5E96"/>
      <rgbColor rgb="FFC7D8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B7D"/>
      <rgbColor rgb="FF969696"/>
      <rgbColor rgb="FF0E3A6B"/>
      <rgbColor rgb="FF339966"/>
      <rgbColor rgb="FF003300"/>
      <rgbColor rgb="FF333300"/>
      <rgbColor rgb="FF993300"/>
      <rgbColor rgb="FF993366"/>
      <rgbColor rgb="FF333399"/>
      <rgbColor rgb="FF1B2A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20"/>
    <col collapsed="false" customWidth="true" hidden="false" outlineLevel="0" max="4" min="4" style="0" width="46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/>
      <c r="D5" s="4" t="s">
        <v>5</v>
      </c>
    </row>
    <row r="6" customFormat="false" ht="15" hidden="false" customHeight="false" outlineLevel="0" collapsed="false">
      <c r="A6" s="5" t="s">
        <v>6</v>
      </c>
      <c r="B6" s="6" t="n">
        <v>183</v>
      </c>
      <c r="C6" s="5" t="s">
        <v>7</v>
      </c>
      <c r="D6" s="7" t="s">
        <v>8</v>
      </c>
    </row>
    <row r="7" customFormat="false" ht="15" hidden="false" customHeight="false" outlineLevel="0" collapsed="false">
      <c r="A7" s="5" t="s">
        <v>9</v>
      </c>
      <c r="B7" s="8" t="n">
        <f aca="false">SUM(Etapas!C3:C15)</f>
        <v>488000</v>
      </c>
      <c r="C7" s="5"/>
      <c r="D7" s="7" t="s">
        <v>10</v>
      </c>
    </row>
    <row r="8" customFormat="false" ht="15" hidden="false" customHeight="false" outlineLevel="0" collapsed="false">
      <c r="A8" s="5" t="s">
        <v>11</v>
      </c>
      <c r="B8" s="8" t="n">
        <f aca="false">SUM(Etapas!D3:D15)</f>
        <v>750000</v>
      </c>
      <c r="C8" s="5"/>
      <c r="D8" s="7" t="s">
        <v>10</v>
      </c>
    </row>
    <row r="9" customFormat="false" ht="15" hidden="false" customHeight="false" outlineLevel="0" collapsed="false">
      <c r="A9" s="5" t="s">
        <v>12</v>
      </c>
      <c r="B9" s="8" t="n">
        <f aca="false">B7/B6</f>
        <v>2666.66666666667</v>
      </c>
      <c r="C9" s="5"/>
      <c r="D9" s="7" t="s">
        <v>13</v>
      </c>
    </row>
    <row r="10" customFormat="false" ht="23.85" hidden="false" customHeight="false" outlineLevel="0" collapsed="false">
      <c r="A10" s="5" t="s">
        <v>14</v>
      </c>
      <c r="B10" s="8" t="n">
        <f aca="false">B8/B6</f>
        <v>4098.36065573771</v>
      </c>
      <c r="C10" s="5"/>
      <c r="D10" s="7" t="s">
        <v>15</v>
      </c>
    </row>
    <row r="11" customFormat="false" ht="15" hidden="false" customHeight="false" outlineLevel="0" collapsed="false">
      <c r="A11" s="5" t="s">
        <v>16</v>
      </c>
      <c r="B11" s="8" t="n">
        <f aca="false">SUM(Cotações!J2:J2)</f>
        <v>0</v>
      </c>
      <c r="C11" s="5"/>
      <c r="D11" s="7" t="s">
        <v>17</v>
      </c>
    </row>
    <row r="12" customFormat="false" ht="15" hidden="false" customHeight="false" outlineLevel="0" collapsed="false">
      <c r="A12" s="5" t="s">
        <v>18</v>
      </c>
      <c r="B12" s="8" t="n">
        <f aca="false">SUM(Etapas!I3:I15)</f>
        <v>0</v>
      </c>
      <c r="C12" s="5"/>
      <c r="D12" s="7" t="s">
        <v>19</v>
      </c>
    </row>
    <row r="13" customFormat="false" ht="15" hidden="false" customHeight="false" outlineLevel="0" collapsed="false">
      <c r="A13" s="5" t="s">
        <v>20</v>
      </c>
      <c r="B13" s="6" t="n">
        <f aca="false">COUNTA(Cotações!A2:A2)</f>
        <v>0</v>
      </c>
      <c r="C13" s="5"/>
      <c r="D13" s="7" t="s">
        <v>21</v>
      </c>
    </row>
    <row r="14" customFormat="false" ht="15" hidden="false" customHeight="false" outlineLevel="0" collapsed="false">
      <c r="A14" s="5" t="s">
        <v>22</v>
      </c>
      <c r="B14" s="9" t="n">
        <f aca="false">IFERROR(SUMPRODUCT(Etapas!H3:H15,Etapas!E3:E15)/SUM(Etapas!E3:E15),0)</f>
        <v>0</v>
      </c>
      <c r="C14" s="5"/>
      <c r="D14" s="7" t="s">
        <v>23</v>
      </c>
    </row>
    <row r="15" customFormat="false" ht="15" hidden="false" customHeight="false" outlineLevel="0" collapsed="false">
      <c r="A15" s="5" t="s">
        <v>24</v>
      </c>
      <c r="B15" s="6" t="n">
        <f aca="false">COUNTIF(Etapas!G3:G15,"concluída")</f>
        <v>0</v>
      </c>
      <c r="C15" s="5" t="s">
        <v>25</v>
      </c>
      <c r="D15" s="7"/>
    </row>
    <row r="17" customFormat="false" ht="15" hidden="false" customHeight="false" outlineLevel="0" collapsed="false">
      <c r="A17" s="10" t="s">
        <v>26</v>
      </c>
    </row>
    <row r="18" customFormat="false" ht="24" hidden="false" customHeight="true" outlineLevel="0" collapsed="false">
      <c r="A18" s="11" t="s">
        <v>27</v>
      </c>
      <c r="B18" s="12" t="s">
        <v>28</v>
      </c>
      <c r="C18" s="12"/>
      <c r="D18" s="12"/>
    </row>
    <row r="19" customFormat="false" ht="24" hidden="false" customHeight="true" outlineLevel="0" collapsed="false">
      <c r="A19" s="11" t="s">
        <v>29</v>
      </c>
      <c r="B19" s="12" t="s">
        <v>30</v>
      </c>
      <c r="C19" s="12"/>
      <c r="D19" s="12"/>
    </row>
    <row r="20" customFormat="false" ht="24" hidden="false" customHeight="true" outlineLevel="0" collapsed="false">
      <c r="A20" s="11" t="s">
        <v>31</v>
      </c>
      <c r="B20" s="12" t="s">
        <v>32</v>
      </c>
      <c r="C20" s="12"/>
      <c r="D20" s="12"/>
    </row>
    <row r="21" customFormat="false" ht="24" hidden="false" customHeight="true" outlineLevel="0" collapsed="false">
      <c r="A21" s="11" t="s">
        <v>33</v>
      </c>
      <c r="B21" s="12" t="s">
        <v>34</v>
      </c>
      <c r="C21" s="12"/>
      <c r="D21" s="12"/>
    </row>
    <row r="22" customFormat="false" ht="24" hidden="false" customHeight="true" outlineLevel="0" collapsed="false">
      <c r="A22" s="11" t="s">
        <v>35</v>
      </c>
      <c r="B22" s="12" t="s">
        <v>36</v>
      </c>
      <c r="C22" s="12"/>
      <c r="D22" s="12"/>
    </row>
    <row r="23" customFormat="false" ht="24" hidden="false" customHeight="true" outlineLevel="0" collapsed="false">
      <c r="A23" s="11" t="s">
        <v>37</v>
      </c>
      <c r="B23" s="12" t="s">
        <v>38</v>
      </c>
      <c r="C23" s="12"/>
      <c r="D23" s="12"/>
    </row>
    <row r="24" customFormat="false" ht="24" hidden="false" customHeight="true" outlineLevel="0" collapsed="false">
      <c r="A24" s="11" t="s">
        <v>39</v>
      </c>
      <c r="B24" s="12" t="s">
        <v>40</v>
      </c>
      <c r="C24" s="12"/>
      <c r="D24" s="12"/>
    </row>
    <row r="27" customFormat="false" ht="15" hidden="false" customHeight="false" outlineLevel="0" collapsed="false">
      <c r="A27" s="10" t="s">
        <v>41</v>
      </c>
    </row>
    <row r="28" customFormat="false" ht="15" hidden="false" customHeight="true" outlineLevel="0" collapsed="false">
      <c r="A28" s="13" t="s">
        <v>42</v>
      </c>
      <c r="B28" s="13"/>
      <c r="C28" s="13"/>
      <c r="D28" s="13"/>
    </row>
    <row r="29" customFormat="false" ht="15" hidden="false" customHeight="false" outlineLevel="0" collapsed="false">
      <c r="A29" s="13"/>
      <c r="B29" s="13"/>
      <c r="C29" s="13"/>
      <c r="D29" s="13"/>
    </row>
    <row r="30" customFormat="false" ht="15" hidden="false" customHeight="false" outlineLevel="0" collapsed="false">
      <c r="A30" s="13"/>
      <c r="B30" s="13"/>
      <c r="C30" s="13"/>
      <c r="D30" s="13"/>
    </row>
  </sheetData>
  <mergeCells count="8">
    <mergeCell ref="B18:D18"/>
    <mergeCell ref="B19:D19"/>
    <mergeCell ref="B20:D20"/>
    <mergeCell ref="B21:D21"/>
    <mergeCell ref="B22:D22"/>
    <mergeCell ref="B23:D23"/>
    <mergeCell ref="B24:D24"/>
    <mergeCell ref="A28:D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5" min="3" style="0" width="13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8" min="8" style="0" width="9"/>
    <col collapsed="false" customWidth="true" hidden="false" outlineLevel="0" max="11" min="9" style="0" width="13"/>
    <col collapsed="false" customWidth="true" hidden="false" outlineLevel="0" max="12" min="12" style="0" width="52"/>
  </cols>
  <sheetData>
    <row r="1" customFormat="false" ht="16.15" hidden="false" customHeight="false" outlineLevel="0" collapsed="false">
      <c r="A1" s="14" t="s">
        <v>43</v>
      </c>
    </row>
    <row r="2" customFormat="false" ht="25.5" hidden="false" customHeight="true" outlineLevel="0" collapsed="false">
      <c r="A2" s="15" t="s">
        <v>44</v>
      </c>
      <c r="B2" s="15" t="s">
        <v>45</v>
      </c>
      <c r="C2" s="15" t="s">
        <v>46</v>
      </c>
      <c r="D2" s="15" t="s">
        <v>47</v>
      </c>
      <c r="E2" s="15" t="s">
        <v>48</v>
      </c>
      <c r="F2" s="15" t="s">
        <v>49</v>
      </c>
      <c r="G2" s="15" t="s">
        <v>50</v>
      </c>
      <c r="H2" s="15" t="s">
        <v>51</v>
      </c>
      <c r="I2" s="15" t="s">
        <v>52</v>
      </c>
      <c r="J2" s="15" t="s">
        <v>53</v>
      </c>
      <c r="K2" s="15" t="s">
        <v>54</v>
      </c>
      <c r="L2" s="15" t="s">
        <v>55</v>
      </c>
    </row>
    <row r="3" customFormat="false" ht="15" hidden="false" customHeight="false" outlineLevel="0" collapsed="false">
      <c r="A3" s="16" t="n">
        <v>1</v>
      </c>
      <c r="B3" s="17" t="s">
        <v>56</v>
      </c>
      <c r="C3" s="18" t="n">
        <v>20000</v>
      </c>
      <c r="D3" s="18" t="n">
        <v>35000</v>
      </c>
      <c r="E3" s="19" t="n">
        <f aca="false">(C3+D3)/2</f>
        <v>27500</v>
      </c>
      <c r="F3" s="20" t="n">
        <f aca="false">IFERROR(E3/$E$16,0)</f>
        <v>0.0444264943457189</v>
      </c>
      <c r="G3" s="16" t="s">
        <v>57</v>
      </c>
      <c r="H3" s="20" t="n">
        <v>0</v>
      </c>
      <c r="I3" s="19" t="n">
        <v>0</v>
      </c>
      <c r="J3" s="19" t="n">
        <f aca="false">SUMIFS(Cotações!$J$2:$J$2,Cotações!$F$2:$F$2,$A3)</f>
        <v>0</v>
      </c>
      <c r="K3" s="18" t="str">
        <f aca="false">IF(J3=0,"",D3-J3)</f>
        <v/>
      </c>
      <c r="L3" s="17" t="s">
        <v>58</v>
      </c>
    </row>
    <row r="4" customFormat="false" ht="15" hidden="false" customHeight="false" outlineLevel="0" collapsed="false">
      <c r="A4" s="21" t="n">
        <v>2</v>
      </c>
      <c r="B4" s="22" t="s">
        <v>59</v>
      </c>
      <c r="C4" s="23" t="n">
        <v>19000</v>
      </c>
      <c r="D4" s="23" t="n">
        <v>26000</v>
      </c>
      <c r="E4" s="24" t="n">
        <f aca="false">(C4+D4)/2</f>
        <v>22500</v>
      </c>
      <c r="F4" s="25" t="n">
        <f aca="false">IFERROR(E4/$E$16,0)</f>
        <v>0.0363489499192246</v>
      </c>
      <c r="G4" s="21" t="s">
        <v>57</v>
      </c>
      <c r="H4" s="25" t="n">
        <v>0</v>
      </c>
      <c r="I4" s="24" t="n">
        <v>0</v>
      </c>
      <c r="J4" s="24" t="n">
        <f aca="false">SUMIFS(Cotações!$J$2:$J$2,Cotações!$F$2:$F$2,$A4)</f>
        <v>0</v>
      </c>
      <c r="K4" s="23" t="str">
        <f aca="false">IF(J4=0,"",D4-J4)</f>
        <v/>
      </c>
      <c r="L4" s="22" t="s">
        <v>60</v>
      </c>
    </row>
    <row r="5" customFormat="false" ht="15" hidden="false" customHeight="false" outlineLevel="0" collapsed="false">
      <c r="A5" s="16" t="n">
        <v>3</v>
      </c>
      <c r="B5" s="17" t="s">
        <v>61</v>
      </c>
      <c r="C5" s="18" t="n">
        <v>28000</v>
      </c>
      <c r="D5" s="18" t="n">
        <v>42000</v>
      </c>
      <c r="E5" s="19" t="n">
        <f aca="false">(C5+D5)/2</f>
        <v>35000</v>
      </c>
      <c r="F5" s="20" t="n">
        <f aca="false">IFERROR(E5/$E$16,0)</f>
        <v>0.0565428109854604</v>
      </c>
      <c r="G5" s="16" t="s">
        <v>57</v>
      </c>
      <c r="H5" s="20" t="n">
        <v>0</v>
      </c>
      <c r="I5" s="19" t="n">
        <v>0</v>
      </c>
      <c r="J5" s="19" t="n">
        <f aca="false">SUMIFS(Cotações!$J$2:$J$2,Cotações!$F$2:$F$2,$A5)</f>
        <v>0</v>
      </c>
      <c r="K5" s="18" t="str">
        <f aca="false">IF(J5=0,"",D5-J5)</f>
        <v/>
      </c>
      <c r="L5" s="17" t="s">
        <v>62</v>
      </c>
    </row>
    <row r="6" customFormat="false" ht="43.25" hidden="false" customHeight="false" outlineLevel="0" collapsed="false">
      <c r="A6" s="21" t="n">
        <v>4</v>
      </c>
      <c r="B6" s="22" t="s">
        <v>63</v>
      </c>
      <c r="C6" s="23" t="n">
        <v>110000</v>
      </c>
      <c r="D6" s="23" t="n">
        <v>156000</v>
      </c>
      <c r="E6" s="24" t="n">
        <f aca="false">(C6+D6)/2</f>
        <v>133000</v>
      </c>
      <c r="F6" s="25" t="n">
        <f aca="false">IFERROR(E6/$E$16,0)</f>
        <v>0.21486268174475</v>
      </c>
      <c r="G6" s="21" t="s">
        <v>57</v>
      </c>
      <c r="H6" s="25" t="n">
        <v>0</v>
      </c>
      <c r="I6" s="24" t="n">
        <v>0</v>
      </c>
      <c r="J6" s="24" t="n">
        <f aca="false">SUMIFS(Cotações!$J$2:$J$2,Cotações!$F$2:$F$2,$A6)</f>
        <v>0</v>
      </c>
      <c r="K6" s="23" t="str">
        <f aca="false">IF(J6=0,"",D6-J6)</f>
        <v/>
      </c>
      <c r="L6" s="22" t="s">
        <v>64</v>
      </c>
    </row>
    <row r="7" customFormat="false" ht="22.35" hidden="false" customHeight="false" outlineLevel="0" collapsed="false">
      <c r="A7" s="16" t="n">
        <v>5</v>
      </c>
      <c r="B7" s="17" t="s">
        <v>65</v>
      </c>
      <c r="C7" s="18" t="n">
        <v>19000</v>
      </c>
      <c r="D7" s="18" t="n">
        <v>26000</v>
      </c>
      <c r="E7" s="19" t="n">
        <f aca="false">(C7+D7)/2</f>
        <v>22500</v>
      </c>
      <c r="F7" s="20" t="n">
        <f aca="false">IFERROR(E7/$E$16,0)</f>
        <v>0.0363489499192246</v>
      </c>
      <c r="G7" s="16" t="s">
        <v>57</v>
      </c>
      <c r="H7" s="20" t="n">
        <v>0</v>
      </c>
      <c r="I7" s="19" t="n">
        <v>0</v>
      </c>
      <c r="J7" s="19" t="n">
        <f aca="false">SUMIFS(Cotações!$J$2:$J$2,Cotações!$F$2:$F$2,$A7)</f>
        <v>0</v>
      </c>
      <c r="K7" s="18" t="str">
        <f aca="false">IF(J7=0,"",D7-J7)</f>
        <v/>
      </c>
      <c r="L7" s="17" t="s">
        <v>66</v>
      </c>
    </row>
    <row r="8" customFormat="false" ht="15" hidden="false" customHeight="false" outlineLevel="0" collapsed="false">
      <c r="A8" s="21" t="n">
        <v>6</v>
      </c>
      <c r="B8" s="22" t="s">
        <v>67</v>
      </c>
      <c r="C8" s="23" t="n">
        <v>40000</v>
      </c>
      <c r="D8" s="23" t="n">
        <v>60000</v>
      </c>
      <c r="E8" s="24" t="n">
        <f aca="false">(C8+D8)/2</f>
        <v>50000</v>
      </c>
      <c r="F8" s="25" t="n">
        <f aca="false">IFERROR(E8/$E$16,0)</f>
        <v>0.0807754442649435</v>
      </c>
      <c r="G8" s="21" t="s">
        <v>57</v>
      </c>
      <c r="H8" s="25" t="n">
        <v>0</v>
      </c>
      <c r="I8" s="24" t="n">
        <v>0</v>
      </c>
      <c r="J8" s="24" t="n">
        <f aca="false">SUMIFS(Cotações!$J$2:$J$2,Cotações!$F$2:$F$2,$A8)</f>
        <v>0</v>
      </c>
      <c r="K8" s="23" t="str">
        <f aca="false">IF(J8=0,"",D8-J8)</f>
        <v/>
      </c>
      <c r="L8" s="22" t="s">
        <v>68</v>
      </c>
    </row>
    <row r="9" customFormat="false" ht="15" hidden="false" customHeight="false" outlineLevel="0" collapsed="false">
      <c r="A9" s="16" t="n">
        <v>7</v>
      </c>
      <c r="B9" s="17" t="s">
        <v>69</v>
      </c>
      <c r="C9" s="18" t="n">
        <v>58000</v>
      </c>
      <c r="D9" s="18" t="n">
        <v>90000</v>
      </c>
      <c r="E9" s="19" t="n">
        <f aca="false">(C9+D9)/2</f>
        <v>74000</v>
      </c>
      <c r="F9" s="20" t="n">
        <f aca="false">IFERROR(E9/$E$16,0)</f>
        <v>0.119547657512116</v>
      </c>
      <c r="G9" s="16" t="s">
        <v>57</v>
      </c>
      <c r="H9" s="20" t="n">
        <v>0</v>
      </c>
      <c r="I9" s="19" t="n">
        <v>0</v>
      </c>
      <c r="J9" s="19" t="n">
        <f aca="false">SUMIFS(Cotações!$J$2:$J$2,Cotações!$F$2:$F$2,$A9)</f>
        <v>0</v>
      </c>
      <c r="K9" s="18" t="str">
        <f aca="false">IF(J9=0,"",D9-J9)</f>
        <v/>
      </c>
      <c r="L9" s="17" t="s">
        <v>70</v>
      </c>
    </row>
    <row r="10" customFormat="false" ht="15" hidden="false" customHeight="false" outlineLevel="0" collapsed="false">
      <c r="A10" s="21" t="n">
        <v>8</v>
      </c>
      <c r="B10" s="22" t="s">
        <v>71</v>
      </c>
      <c r="C10" s="23" t="n">
        <v>33000</v>
      </c>
      <c r="D10" s="23" t="n">
        <v>52000</v>
      </c>
      <c r="E10" s="24" t="n">
        <f aca="false">(C10+D10)/2</f>
        <v>42500</v>
      </c>
      <c r="F10" s="25" t="n">
        <f aca="false">IFERROR(E10/$E$16,0)</f>
        <v>0.0686591276252019</v>
      </c>
      <c r="G10" s="21" t="s">
        <v>57</v>
      </c>
      <c r="H10" s="25" t="n">
        <v>0</v>
      </c>
      <c r="I10" s="24" t="n">
        <v>0</v>
      </c>
      <c r="J10" s="24" t="n">
        <f aca="false">SUMIFS(Cotações!$J$2:$J$2,Cotações!$F$2:$F$2,$A10)</f>
        <v>0</v>
      </c>
      <c r="K10" s="23" t="str">
        <f aca="false">IF(J10=0,"",D10-J10)</f>
        <v/>
      </c>
      <c r="L10" s="22" t="s">
        <v>72</v>
      </c>
    </row>
    <row r="11" customFormat="false" ht="15" hidden="false" customHeight="false" outlineLevel="0" collapsed="false">
      <c r="A11" s="16" t="n">
        <v>9</v>
      </c>
      <c r="B11" s="17" t="s">
        <v>73</v>
      </c>
      <c r="C11" s="18" t="n">
        <v>45000</v>
      </c>
      <c r="D11" s="18" t="n">
        <v>70000</v>
      </c>
      <c r="E11" s="19" t="n">
        <f aca="false">(C11+D11)/2</f>
        <v>57500</v>
      </c>
      <c r="F11" s="20" t="n">
        <f aca="false">IFERROR(E11/$E$16,0)</f>
        <v>0.092891760904685</v>
      </c>
      <c r="G11" s="16" t="s">
        <v>57</v>
      </c>
      <c r="H11" s="20" t="n">
        <v>0</v>
      </c>
      <c r="I11" s="19" t="n">
        <v>0</v>
      </c>
      <c r="J11" s="19" t="n">
        <f aca="false">SUMIFS(Cotações!$J$2:$J$2,Cotações!$F$2:$F$2,$A11)</f>
        <v>0</v>
      </c>
      <c r="K11" s="18" t="str">
        <f aca="false">IF(J11=0,"",D11-J11)</f>
        <v/>
      </c>
      <c r="L11" s="17" t="s">
        <v>74</v>
      </c>
    </row>
    <row r="12" customFormat="false" ht="15" hidden="false" customHeight="false" outlineLevel="0" collapsed="false">
      <c r="A12" s="21" t="n">
        <v>10</v>
      </c>
      <c r="B12" s="22" t="s">
        <v>75</v>
      </c>
      <c r="C12" s="23" t="n">
        <v>18000</v>
      </c>
      <c r="D12" s="23" t="n">
        <v>28000</v>
      </c>
      <c r="E12" s="24" t="n">
        <f aca="false">(C12+D12)/2</f>
        <v>23000</v>
      </c>
      <c r="F12" s="25" t="n">
        <f aca="false">IFERROR(E12/$E$16,0)</f>
        <v>0.037156704361874</v>
      </c>
      <c r="G12" s="21" t="s">
        <v>57</v>
      </c>
      <c r="H12" s="25" t="n">
        <v>0</v>
      </c>
      <c r="I12" s="24" t="n">
        <v>0</v>
      </c>
      <c r="J12" s="24" t="n">
        <f aca="false">SUMIFS(Cotações!$J$2:$J$2,Cotações!$F$2:$F$2,$A12)</f>
        <v>0</v>
      </c>
      <c r="K12" s="23" t="str">
        <f aca="false">IF(J12=0,"",D12-J12)</f>
        <v/>
      </c>
      <c r="L12" s="22" t="s">
        <v>76</v>
      </c>
    </row>
    <row r="13" customFormat="false" ht="32.8" hidden="false" customHeight="false" outlineLevel="0" collapsed="false">
      <c r="A13" s="16" t="n">
        <v>11</v>
      </c>
      <c r="B13" s="17" t="s">
        <v>77</v>
      </c>
      <c r="C13" s="18" t="n">
        <v>48000</v>
      </c>
      <c r="D13" s="18" t="n">
        <v>82000</v>
      </c>
      <c r="E13" s="19" t="n">
        <f aca="false">(C13+D13)/2</f>
        <v>65000</v>
      </c>
      <c r="F13" s="20" t="n">
        <f aca="false">IFERROR(E13/$E$16,0)</f>
        <v>0.105008077544427</v>
      </c>
      <c r="G13" s="16" t="s">
        <v>57</v>
      </c>
      <c r="H13" s="20" t="n">
        <v>0</v>
      </c>
      <c r="I13" s="19" t="n">
        <v>0</v>
      </c>
      <c r="J13" s="19" t="n">
        <f aca="false">SUMIFS(Cotações!$J$2:$J$2,Cotações!$F$2:$F$2,$A13)</f>
        <v>0</v>
      </c>
      <c r="K13" s="18" t="str">
        <f aca="false">IF(J13=0,"",D13-J13)</f>
        <v/>
      </c>
      <c r="L13" s="17" t="s">
        <v>78</v>
      </c>
    </row>
    <row r="14" customFormat="false" ht="22.35" hidden="false" customHeight="false" outlineLevel="0" collapsed="false">
      <c r="A14" s="21" t="n">
        <v>12</v>
      </c>
      <c r="B14" s="22" t="s">
        <v>79</v>
      </c>
      <c r="C14" s="23" t="n">
        <v>20000</v>
      </c>
      <c r="D14" s="23" t="n">
        <v>33000</v>
      </c>
      <c r="E14" s="24" t="n">
        <f aca="false">(C14+D14)/2</f>
        <v>26500</v>
      </c>
      <c r="F14" s="25" t="n">
        <f aca="false">IFERROR(E14/$E$16,0)</f>
        <v>0.04281098546042</v>
      </c>
      <c r="G14" s="21" t="s">
        <v>57</v>
      </c>
      <c r="H14" s="25" t="n">
        <v>0</v>
      </c>
      <c r="I14" s="24" t="n">
        <v>0</v>
      </c>
      <c r="J14" s="24" t="n">
        <f aca="false">SUMIFS(Cotações!$J$2:$J$2,Cotações!$F$2:$F$2,$A14)</f>
        <v>0</v>
      </c>
      <c r="K14" s="23" t="str">
        <f aca="false">IF(J14=0,"",D14-J14)</f>
        <v/>
      </c>
      <c r="L14" s="22" t="s">
        <v>80</v>
      </c>
    </row>
    <row r="15" customFormat="false" ht="15" hidden="false" customHeight="false" outlineLevel="0" collapsed="false">
      <c r="A15" s="16" t="n">
        <v>13</v>
      </c>
      <c r="B15" s="17" t="s">
        <v>81</v>
      </c>
      <c r="C15" s="18" t="n">
        <v>30000</v>
      </c>
      <c r="D15" s="18" t="n">
        <v>50000</v>
      </c>
      <c r="E15" s="19" t="n">
        <f aca="false">(C15+D15)/2</f>
        <v>40000</v>
      </c>
      <c r="F15" s="20" t="n">
        <f aca="false">IFERROR(E15/$E$16,0)</f>
        <v>0.0646203554119548</v>
      </c>
      <c r="G15" s="16" t="s">
        <v>57</v>
      </c>
      <c r="H15" s="20" t="n">
        <v>0</v>
      </c>
      <c r="I15" s="19" t="n">
        <v>0</v>
      </c>
      <c r="J15" s="19" t="n">
        <f aca="false">SUMIFS(Cotações!$J$2:$J$2,Cotações!$F$2:$F$2,$A15)</f>
        <v>0</v>
      </c>
      <c r="K15" s="18" t="str">
        <f aca="false">IF(J15=0,"",D15-J15)</f>
        <v/>
      </c>
      <c r="L15" s="17" t="s">
        <v>82</v>
      </c>
    </row>
    <row r="16" customFormat="false" ht="15" hidden="false" customHeight="false" outlineLevel="0" collapsed="false">
      <c r="B16" s="26" t="s">
        <v>83</v>
      </c>
      <c r="C16" s="27" t="n">
        <f aca="false">SUM(C3:C15)</f>
        <v>488000</v>
      </c>
      <c r="D16" s="27" t="n">
        <f aca="false">SUM(D3:D15)</f>
        <v>750000</v>
      </c>
      <c r="E16" s="27" t="n">
        <f aca="false">SUM(E3:E15)</f>
        <v>619000</v>
      </c>
      <c r="F16" s="26" t="s">
        <v>84</v>
      </c>
      <c r="I16" s="27" t="n">
        <f aca="false">SUM(I3:I15)</f>
        <v>0</v>
      </c>
      <c r="J16" s="27" t="n">
        <f aca="false">SUM(J3:J15)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7"/>
    <col collapsed="false" customWidth="true" hidden="false" outlineLevel="0" max="3" min="3" style="0" width="42"/>
    <col collapsed="false" customWidth="true" hidden="false" outlineLevel="0" max="4" min="4" style="0" width="46"/>
    <col collapsed="false" customWidth="true" hidden="false" outlineLevel="0" max="5" min="5" style="0" width="6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9" min="8" style="0" width="14"/>
    <col collapsed="false" customWidth="true" hidden="false" outlineLevel="0" max="10" min="10" style="0" width="52"/>
  </cols>
  <sheetData>
    <row r="1" customFormat="false" ht="16.15" hidden="false" customHeight="false" outlineLevel="0" collapsed="false">
      <c r="A1" s="14" t="s">
        <v>85</v>
      </c>
    </row>
    <row r="2" customFormat="false" ht="15" hidden="false" customHeight="false" outlineLevel="0" collapsed="false">
      <c r="A2" s="28" t="s">
        <v>86</v>
      </c>
    </row>
    <row r="3" customFormat="false" ht="25.5" hidden="false" customHeight="true" outlineLevel="0" collapsed="false">
      <c r="A3" s="15" t="s">
        <v>87</v>
      </c>
      <c r="B3" s="15" t="s">
        <v>88</v>
      </c>
      <c r="C3" s="15" t="s">
        <v>89</v>
      </c>
      <c r="D3" s="15" t="s">
        <v>90</v>
      </c>
      <c r="E3" s="15" t="s">
        <v>91</v>
      </c>
      <c r="F3" s="15" t="s">
        <v>92</v>
      </c>
      <c r="G3" s="15" t="s">
        <v>93</v>
      </c>
      <c r="H3" s="15" t="s">
        <v>94</v>
      </c>
      <c r="I3" s="15" t="s">
        <v>95</v>
      </c>
      <c r="J3" s="15" t="s">
        <v>55</v>
      </c>
    </row>
    <row r="4" customFormat="false" ht="22.35" hidden="false" customHeight="false" outlineLevel="0" collapsed="false">
      <c r="A4" s="21" t="s">
        <v>96</v>
      </c>
      <c r="B4" s="22" t="s">
        <v>97</v>
      </c>
      <c r="C4" s="22" t="s">
        <v>98</v>
      </c>
      <c r="D4" s="22"/>
      <c r="E4" s="21" t="s">
        <v>7</v>
      </c>
      <c r="F4" s="29" t="n">
        <v>340</v>
      </c>
      <c r="G4" s="21" t="n">
        <f aca="false">COUNTIFS(Cotações!$D$2:$D$2,$A4)</f>
        <v>0</v>
      </c>
      <c r="H4" s="30" t="str">
        <f aca="false">IF(G4=0,"—",_xlfn.MINIFS(Cotações!$I$2:$I$2,Cotações!$D$2:$D$2,$A4))</f>
        <v>—</v>
      </c>
      <c r="I4" s="24" t="str">
        <f aca="false">IF(G4=0,"—",IFERROR(H4*F4,""))</f>
        <v>—</v>
      </c>
      <c r="J4" s="21" t="s">
        <v>99</v>
      </c>
    </row>
    <row r="5" customFormat="false" ht="15" hidden="false" customHeight="false" outlineLevel="0" collapsed="false">
      <c r="A5" s="16" t="s">
        <v>100</v>
      </c>
      <c r="B5" s="17" t="s">
        <v>97</v>
      </c>
      <c r="C5" s="17" t="s">
        <v>101</v>
      </c>
      <c r="D5" s="17"/>
      <c r="E5" s="16" t="s">
        <v>7</v>
      </c>
      <c r="F5" s="31" t="n">
        <v>680</v>
      </c>
      <c r="G5" s="16" t="n">
        <f aca="false">COUNTIFS(Cotações!$D$2:$D$2,$A5)</f>
        <v>0</v>
      </c>
      <c r="H5" s="32" t="str">
        <f aca="false">IF(G5=0,"—",_xlfn.MINIFS(Cotações!$I$2:$I$2,Cotações!$D$2:$D$2,$A5))</f>
        <v>—</v>
      </c>
      <c r="I5" s="19" t="str">
        <f aca="false">IF(G5=0,"—",IFERROR(H5*F5,""))</f>
        <v>—</v>
      </c>
      <c r="J5" s="16" t="s">
        <v>102</v>
      </c>
    </row>
    <row r="6" customFormat="false" ht="15" hidden="false" customHeight="false" outlineLevel="0" collapsed="false">
      <c r="A6" s="21" t="s">
        <v>103</v>
      </c>
      <c r="B6" s="22" t="s">
        <v>97</v>
      </c>
      <c r="C6" s="22" t="s">
        <v>104</v>
      </c>
      <c r="D6" s="22"/>
      <c r="E6" s="21" t="s">
        <v>105</v>
      </c>
      <c r="F6" s="29" t="n">
        <v>1</v>
      </c>
      <c r="G6" s="21" t="n">
        <f aca="false">COUNTIFS(Cotações!$D$2:$D$2,$A6)</f>
        <v>0</v>
      </c>
      <c r="H6" s="30" t="str">
        <f aca="false">IF(G6=0,"—",_xlfn.MINIFS(Cotações!$I$2:$I$2,Cotações!$D$2:$D$2,$A6))</f>
        <v>—</v>
      </c>
      <c r="I6" s="24" t="str">
        <f aca="false">IF(G6=0,"—",IFERROR(H6*F6,""))</f>
        <v>—</v>
      </c>
      <c r="J6" s="21" t="s">
        <v>106</v>
      </c>
    </row>
    <row r="7" customFormat="false" ht="22.35" hidden="false" customHeight="false" outlineLevel="0" collapsed="false">
      <c r="A7" s="16" t="s">
        <v>107</v>
      </c>
      <c r="B7" s="17" t="s">
        <v>97</v>
      </c>
      <c r="C7" s="17" t="s">
        <v>108</v>
      </c>
      <c r="D7" s="17"/>
      <c r="E7" s="16" t="s">
        <v>7</v>
      </c>
      <c r="F7" s="31" t="n">
        <v>68</v>
      </c>
      <c r="G7" s="16" t="n">
        <f aca="false">COUNTIFS(Cotações!$D$2:$D$2,$A7)</f>
        <v>0</v>
      </c>
      <c r="H7" s="32" t="str">
        <f aca="false">IF(G7=0,"—",_xlfn.MINIFS(Cotações!$I$2:$I$2,Cotações!$D$2:$D$2,$A7))</f>
        <v>—</v>
      </c>
      <c r="I7" s="19" t="str">
        <f aca="false">IF(G7=0,"—",IFERROR(H7*F7,""))</f>
        <v>—</v>
      </c>
      <c r="J7" s="16" t="s">
        <v>109</v>
      </c>
    </row>
    <row r="8" customFormat="false" ht="15" hidden="false" customHeight="false" outlineLevel="0" collapsed="false">
      <c r="A8" s="21" t="s">
        <v>110</v>
      </c>
      <c r="B8" s="22" t="s">
        <v>97</v>
      </c>
      <c r="C8" s="22" t="s">
        <v>111</v>
      </c>
      <c r="D8" s="22"/>
      <c r="E8" s="21" t="s">
        <v>7</v>
      </c>
      <c r="F8" s="29" t="n">
        <v>103</v>
      </c>
      <c r="G8" s="21" t="n">
        <f aca="false">COUNTIFS(Cotações!$D$2:$D$2,$A8)</f>
        <v>0</v>
      </c>
      <c r="H8" s="30" t="str">
        <f aca="false">IF(G8=0,"—",_xlfn.MINIFS(Cotações!$I$2:$I$2,Cotações!$D$2:$D$2,$A8))</f>
        <v>—</v>
      </c>
      <c r="I8" s="24" t="str">
        <f aca="false">IF(G8=0,"—",IFERROR(H8*F8,""))</f>
        <v>—</v>
      </c>
      <c r="J8" s="21" t="s">
        <v>112</v>
      </c>
    </row>
    <row r="9" customFormat="false" ht="22.35" hidden="false" customHeight="false" outlineLevel="0" collapsed="false">
      <c r="A9" s="16" t="s">
        <v>113</v>
      </c>
      <c r="B9" s="17" t="s">
        <v>97</v>
      </c>
      <c r="C9" s="17" t="s">
        <v>114</v>
      </c>
      <c r="D9" s="17"/>
      <c r="E9" s="16" t="s">
        <v>105</v>
      </c>
      <c r="F9" s="31" t="n">
        <v>1</v>
      </c>
      <c r="G9" s="16" t="n">
        <f aca="false">COUNTIFS(Cotações!$D$2:$D$2,$A9)</f>
        <v>0</v>
      </c>
      <c r="H9" s="32" t="str">
        <f aca="false">IF(G9=0,"—",_xlfn.MINIFS(Cotações!$I$2:$I$2,Cotações!$D$2:$D$2,$A9))</f>
        <v>—</v>
      </c>
      <c r="I9" s="19" t="str">
        <f aca="false">IF(G9=0,"—",IFERROR(H9*F9,""))</f>
        <v>—</v>
      </c>
      <c r="J9" s="16" t="s">
        <v>115</v>
      </c>
    </row>
    <row r="10" customFormat="false" ht="53.7" hidden="false" customHeight="false" outlineLevel="0" collapsed="false">
      <c r="A10" s="21" t="s">
        <v>116</v>
      </c>
      <c r="B10" s="22" t="s">
        <v>97</v>
      </c>
      <c r="C10" s="22" t="s">
        <v>117</v>
      </c>
      <c r="D10" s="22" t="s">
        <v>118</v>
      </c>
      <c r="E10" s="21" t="s">
        <v>7</v>
      </c>
      <c r="F10" s="29" t="n">
        <v>95</v>
      </c>
      <c r="G10" s="21" t="n">
        <f aca="false">COUNTIFS(Cotações!$D$2:$D$2,$A10)</f>
        <v>0</v>
      </c>
      <c r="H10" s="30" t="str">
        <f aca="false">IF(G10=0,"—",_xlfn.MINIFS(Cotações!$I$2:$I$2,Cotações!$D$2:$D$2,$A10))</f>
        <v>—</v>
      </c>
      <c r="I10" s="24" t="str">
        <f aca="false">IF(G10=0,"—",IFERROR(H10*F10,""))</f>
        <v>—</v>
      </c>
      <c r="J10" s="21" t="s">
        <v>119</v>
      </c>
    </row>
    <row r="11" customFormat="false" ht="15" hidden="false" customHeight="false" outlineLevel="0" collapsed="false">
      <c r="A11" s="16" t="s">
        <v>120</v>
      </c>
      <c r="B11" s="17" t="s">
        <v>97</v>
      </c>
      <c r="C11" s="17" t="s">
        <v>121</v>
      </c>
      <c r="D11" s="17"/>
      <c r="E11" s="16" t="s">
        <v>7</v>
      </c>
      <c r="F11" s="31" t="n">
        <v>98</v>
      </c>
      <c r="G11" s="16" t="n">
        <f aca="false">COUNTIFS(Cotações!$D$2:$D$2,$A11)</f>
        <v>0</v>
      </c>
      <c r="H11" s="32" t="str">
        <f aca="false">IF(G11=0,"—",_xlfn.MINIFS(Cotações!$I$2:$I$2,Cotações!$D$2:$D$2,$A11))</f>
        <v>—</v>
      </c>
      <c r="I11" s="19" t="str">
        <f aca="false">IF(G11=0,"—",IFERROR(H11*F11,""))</f>
        <v>—</v>
      </c>
      <c r="J11" s="16" t="s">
        <v>122</v>
      </c>
    </row>
    <row r="12" customFormat="false" ht="15" hidden="false" customHeight="false" outlineLevel="0" collapsed="false">
      <c r="A12" s="21" t="s">
        <v>123</v>
      </c>
      <c r="B12" s="22" t="s">
        <v>97</v>
      </c>
      <c r="C12" s="22" t="s">
        <v>124</v>
      </c>
      <c r="D12" s="22"/>
      <c r="E12" s="21" t="s">
        <v>7</v>
      </c>
      <c r="F12" s="29" t="n">
        <v>12</v>
      </c>
      <c r="G12" s="21" t="n">
        <f aca="false">COUNTIFS(Cotações!$D$2:$D$2,$A12)</f>
        <v>0</v>
      </c>
      <c r="H12" s="30" t="str">
        <f aca="false">IF(G12=0,"—",_xlfn.MINIFS(Cotações!$I$2:$I$2,Cotações!$D$2:$D$2,$A12))</f>
        <v>—</v>
      </c>
      <c r="I12" s="24" t="str">
        <f aca="false">IF(G12=0,"—",IFERROR(H12*F12,""))</f>
        <v>—</v>
      </c>
      <c r="J12" s="21" t="s">
        <v>125</v>
      </c>
    </row>
    <row r="13" customFormat="false" ht="15" hidden="false" customHeight="false" outlineLevel="0" collapsed="false">
      <c r="A13" s="16" t="s">
        <v>126</v>
      </c>
      <c r="B13" s="17" t="s">
        <v>97</v>
      </c>
      <c r="C13" s="17" t="s">
        <v>127</v>
      </c>
      <c r="D13" s="17"/>
      <c r="E13" s="16" t="s">
        <v>105</v>
      </c>
      <c r="F13" s="31" t="n">
        <v>1</v>
      </c>
      <c r="G13" s="16" t="n">
        <f aca="false">COUNTIFS(Cotações!$D$2:$D$2,$A13)</f>
        <v>0</v>
      </c>
      <c r="H13" s="32" t="str">
        <f aca="false">IF(G13=0,"—",_xlfn.MINIFS(Cotações!$I$2:$I$2,Cotações!$D$2:$D$2,$A13))</f>
        <v>—</v>
      </c>
      <c r="I13" s="19" t="str">
        <f aca="false">IF(G13=0,"—",IFERROR(H13*F13,""))</f>
        <v>—</v>
      </c>
      <c r="J13" s="16" t="s">
        <v>128</v>
      </c>
    </row>
    <row r="14" customFormat="false" ht="15" hidden="false" customHeight="false" outlineLevel="0" collapsed="false">
      <c r="A14" s="21" t="s">
        <v>129</v>
      </c>
      <c r="B14" s="22" t="s">
        <v>97</v>
      </c>
      <c r="C14" s="22" t="s">
        <v>130</v>
      </c>
      <c r="D14" s="22"/>
      <c r="E14" s="21" t="s">
        <v>131</v>
      </c>
      <c r="F14" s="29" t="n">
        <v>14</v>
      </c>
      <c r="G14" s="21" t="n">
        <f aca="false">COUNTIFS(Cotações!$D$2:$D$2,$A14)</f>
        <v>0</v>
      </c>
      <c r="H14" s="30" t="str">
        <f aca="false">IF(G14=0,"—",_xlfn.MINIFS(Cotações!$I$2:$I$2,Cotações!$D$2:$D$2,$A14))</f>
        <v>—</v>
      </c>
      <c r="I14" s="24" t="str">
        <f aca="false">IF(G14=0,"—",IFERROR(H14*F14,""))</f>
        <v>—</v>
      </c>
      <c r="J14" s="21" t="s">
        <v>132</v>
      </c>
    </row>
    <row r="15" customFormat="false" ht="15" hidden="false" customHeight="false" outlineLevel="0" collapsed="false">
      <c r="A15" s="16" t="s">
        <v>133</v>
      </c>
      <c r="B15" s="17" t="s">
        <v>97</v>
      </c>
      <c r="C15" s="17" t="s">
        <v>134</v>
      </c>
      <c r="D15" s="17"/>
      <c r="E15" s="16" t="s">
        <v>105</v>
      </c>
      <c r="F15" s="31" t="n">
        <v>1</v>
      </c>
      <c r="G15" s="16" t="n">
        <f aca="false">COUNTIFS(Cotações!$D$2:$D$2,$A15)</f>
        <v>0</v>
      </c>
      <c r="H15" s="32" t="str">
        <f aca="false">IF(G15=0,"—",_xlfn.MINIFS(Cotações!$I$2:$I$2,Cotações!$D$2:$D$2,$A15))</f>
        <v>—</v>
      </c>
      <c r="I15" s="19" t="str">
        <f aca="false">IF(G15=0,"—",IFERROR(H15*F15,""))</f>
        <v>—</v>
      </c>
      <c r="J15" s="16" t="s">
        <v>135</v>
      </c>
    </row>
    <row r="16" customFormat="false" ht="15" hidden="false" customHeight="false" outlineLevel="0" collapsed="false">
      <c r="A16" s="21" t="s">
        <v>136</v>
      </c>
      <c r="B16" s="22" t="s">
        <v>97</v>
      </c>
      <c r="C16" s="22" t="s">
        <v>137</v>
      </c>
      <c r="D16" s="22"/>
      <c r="E16" s="21" t="s">
        <v>105</v>
      </c>
      <c r="F16" s="29" t="n">
        <v>1</v>
      </c>
      <c r="G16" s="21" t="n">
        <f aca="false">COUNTIFS(Cotações!$D$2:$D$2,$A16)</f>
        <v>0</v>
      </c>
      <c r="H16" s="30" t="str">
        <f aca="false">IF(G16=0,"—",_xlfn.MINIFS(Cotações!$I$2:$I$2,Cotações!$D$2:$D$2,$A16))</f>
        <v>—</v>
      </c>
      <c r="I16" s="24" t="str">
        <f aca="false">IF(G16=0,"—",IFERROR(H16*F16,""))</f>
        <v>—</v>
      </c>
      <c r="J16" s="21" t="s">
        <v>138</v>
      </c>
    </row>
    <row r="17" customFormat="false" ht="15" hidden="false" customHeight="false" outlineLevel="0" collapsed="false">
      <c r="A17" s="16" t="s">
        <v>139</v>
      </c>
      <c r="B17" s="17" t="s">
        <v>97</v>
      </c>
      <c r="C17" s="17" t="s">
        <v>140</v>
      </c>
      <c r="D17" s="17"/>
      <c r="E17" s="16" t="s">
        <v>105</v>
      </c>
      <c r="F17" s="31" t="n">
        <v>1</v>
      </c>
      <c r="G17" s="16" t="n">
        <f aca="false">COUNTIFS(Cotações!$D$2:$D$2,$A17)</f>
        <v>0</v>
      </c>
      <c r="H17" s="32" t="str">
        <f aca="false">IF(G17=0,"—",_xlfn.MINIFS(Cotações!$I$2:$I$2,Cotações!$D$2:$D$2,$A17))</f>
        <v>—</v>
      </c>
      <c r="I17" s="19" t="str">
        <f aca="false">IF(G17=0,"—",IFERROR(H17*F17,""))</f>
        <v>—</v>
      </c>
      <c r="J17" s="16" t="s">
        <v>141</v>
      </c>
    </row>
    <row r="18" customFormat="false" ht="15" hidden="false" customHeight="false" outlineLevel="0" collapsed="false">
      <c r="A18" s="21" t="s">
        <v>142</v>
      </c>
      <c r="B18" s="22" t="s">
        <v>97</v>
      </c>
      <c r="C18" s="22" t="s">
        <v>143</v>
      </c>
      <c r="D18" s="22"/>
      <c r="E18" s="21" t="s">
        <v>105</v>
      </c>
      <c r="F18" s="29" t="n">
        <v>1</v>
      </c>
      <c r="G18" s="21" t="n">
        <f aca="false">COUNTIFS(Cotações!$D$2:$D$2,$A18)</f>
        <v>0</v>
      </c>
      <c r="H18" s="30" t="str">
        <f aca="false">IF(G18=0,"—",_xlfn.MINIFS(Cotações!$I$2:$I$2,Cotações!$D$2:$D$2,$A18))</f>
        <v>—</v>
      </c>
      <c r="I18" s="24" t="str">
        <f aca="false">IF(G18=0,"—",IFERROR(H18*F18,""))</f>
        <v>—</v>
      </c>
      <c r="J18" s="21" t="s">
        <v>144</v>
      </c>
    </row>
    <row r="19" customFormat="false" ht="15" hidden="false" customHeight="false" outlineLevel="0" collapsed="false">
      <c r="A19" s="16" t="s">
        <v>145</v>
      </c>
      <c r="B19" s="17" t="s">
        <v>97</v>
      </c>
      <c r="C19" s="17" t="s">
        <v>146</v>
      </c>
      <c r="D19" s="17"/>
      <c r="E19" s="16" t="s">
        <v>105</v>
      </c>
      <c r="F19" s="31" t="n">
        <v>1</v>
      </c>
      <c r="G19" s="16" t="n">
        <f aca="false">COUNTIFS(Cotações!$D$2:$D$2,$A19)</f>
        <v>0</v>
      </c>
      <c r="H19" s="32" t="str">
        <f aca="false">IF(G19=0,"—",_xlfn.MINIFS(Cotações!$I$2:$I$2,Cotações!$D$2:$D$2,$A19))</f>
        <v>—</v>
      </c>
      <c r="I19" s="19" t="str">
        <f aca="false">IF(G19=0,"—",IFERROR(H19*F19,""))</f>
        <v>—</v>
      </c>
      <c r="J19" s="16" t="s">
        <v>147</v>
      </c>
    </row>
    <row r="20" customFormat="false" ht="15" hidden="false" customHeight="false" outlineLevel="0" collapsed="false">
      <c r="A20" s="21" t="s">
        <v>148</v>
      </c>
      <c r="B20" s="22" t="s">
        <v>97</v>
      </c>
      <c r="C20" s="22" t="s">
        <v>149</v>
      </c>
      <c r="D20" s="22"/>
      <c r="E20" s="21" t="s">
        <v>105</v>
      </c>
      <c r="F20" s="29" t="n">
        <v>1</v>
      </c>
      <c r="G20" s="21" t="n">
        <f aca="false">COUNTIFS(Cotações!$D$2:$D$2,$A20)</f>
        <v>0</v>
      </c>
      <c r="H20" s="30" t="str">
        <f aca="false">IF(G20=0,"—",_xlfn.MINIFS(Cotações!$I$2:$I$2,Cotações!$D$2:$D$2,$A20))</f>
        <v>—</v>
      </c>
      <c r="I20" s="24" t="str">
        <f aca="false">IF(G20=0,"—",IFERROR(H20*F20,""))</f>
        <v>—</v>
      </c>
      <c r="J20" s="21" t="s">
        <v>150</v>
      </c>
    </row>
    <row r="21" customFormat="false" ht="15" hidden="false" customHeight="false" outlineLevel="0" collapsed="false">
      <c r="A21" s="16" t="s">
        <v>151</v>
      </c>
      <c r="B21" s="17" t="s">
        <v>97</v>
      </c>
      <c r="C21" s="17" t="s">
        <v>152</v>
      </c>
      <c r="D21" s="17"/>
      <c r="E21" s="16" t="s">
        <v>105</v>
      </c>
      <c r="F21" s="31" t="n">
        <v>1</v>
      </c>
      <c r="G21" s="16" t="n">
        <f aca="false">COUNTIFS(Cotações!$D$2:$D$2,$A21)</f>
        <v>0</v>
      </c>
      <c r="H21" s="32" t="str">
        <f aca="false">IF(G21=0,"—",_xlfn.MINIFS(Cotações!$I$2:$I$2,Cotações!$D$2:$D$2,$A21))</f>
        <v>—</v>
      </c>
      <c r="I21" s="19" t="str">
        <f aca="false">IF(G21=0,"—",IFERROR(H21*F21,""))</f>
        <v>—</v>
      </c>
      <c r="J21" s="16" t="s">
        <v>153</v>
      </c>
    </row>
    <row r="22" customFormat="false" ht="15" hidden="false" customHeight="false" outlineLevel="0" collapsed="false">
      <c r="A22" s="21" t="s">
        <v>154</v>
      </c>
      <c r="B22" s="22" t="s">
        <v>97</v>
      </c>
      <c r="C22" s="22" t="s">
        <v>155</v>
      </c>
      <c r="D22" s="22"/>
      <c r="E22" s="21" t="s">
        <v>7</v>
      </c>
      <c r="F22" s="29" t="n">
        <v>18</v>
      </c>
      <c r="G22" s="21" t="n">
        <f aca="false">COUNTIFS(Cotações!$D$2:$D$2,$A22)</f>
        <v>0</v>
      </c>
      <c r="H22" s="30" t="str">
        <f aca="false">IF(G22=0,"—",_xlfn.MINIFS(Cotações!$I$2:$I$2,Cotações!$D$2:$D$2,$A22))</f>
        <v>—</v>
      </c>
      <c r="I22" s="24" t="str">
        <f aca="false">IF(G22=0,"—",IFERROR(H22*F22,""))</f>
        <v>—</v>
      </c>
      <c r="J22" s="21" t="s">
        <v>156</v>
      </c>
    </row>
    <row r="23" customFormat="false" ht="22.35" hidden="false" customHeight="false" outlineLevel="0" collapsed="false">
      <c r="A23" s="16" t="s">
        <v>157</v>
      </c>
      <c r="B23" s="17" t="s">
        <v>97</v>
      </c>
      <c r="C23" s="17" t="s">
        <v>158</v>
      </c>
      <c r="D23" s="17"/>
      <c r="E23" s="16" t="s">
        <v>7</v>
      </c>
      <c r="F23" s="31" t="n">
        <v>18</v>
      </c>
      <c r="G23" s="16" t="n">
        <f aca="false">COUNTIFS(Cotações!$D$2:$D$2,$A23)</f>
        <v>0</v>
      </c>
      <c r="H23" s="32" t="str">
        <f aca="false">IF(G23=0,"—",_xlfn.MINIFS(Cotações!$I$2:$I$2,Cotações!$D$2:$D$2,$A23))</f>
        <v>—</v>
      </c>
      <c r="I23" s="19" t="str">
        <f aca="false">IF(G23=0,"—",IFERROR(H23*F23,""))</f>
        <v>—</v>
      </c>
      <c r="J23" s="16" t="s">
        <v>159</v>
      </c>
    </row>
    <row r="24" customFormat="false" ht="22.35" hidden="false" customHeight="false" outlineLevel="0" collapsed="false">
      <c r="A24" s="21" t="s">
        <v>160</v>
      </c>
      <c r="B24" s="22" t="s">
        <v>97</v>
      </c>
      <c r="C24" s="22" t="s">
        <v>161</v>
      </c>
      <c r="D24" s="22"/>
      <c r="E24" s="21" t="s">
        <v>7</v>
      </c>
      <c r="F24" s="29" t="n">
        <v>21</v>
      </c>
      <c r="G24" s="21" t="n">
        <f aca="false">COUNTIFS(Cotações!$D$2:$D$2,$A24)</f>
        <v>0</v>
      </c>
      <c r="H24" s="30" t="str">
        <f aca="false">IF(G24=0,"—",_xlfn.MINIFS(Cotações!$I$2:$I$2,Cotações!$D$2:$D$2,$A24))</f>
        <v>—</v>
      </c>
      <c r="I24" s="24" t="str">
        <f aca="false">IF(G24=0,"—",IFERROR(H24*F24,""))</f>
        <v>—</v>
      </c>
      <c r="J24" s="21" t="s">
        <v>162</v>
      </c>
    </row>
    <row r="25" customFormat="false" ht="15" hidden="false" customHeight="false" outlineLevel="0" collapsed="false">
      <c r="A25" s="16" t="s">
        <v>163</v>
      </c>
      <c r="B25" s="17" t="s">
        <v>97</v>
      </c>
      <c r="C25" s="17" t="s">
        <v>164</v>
      </c>
      <c r="D25" s="17"/>
      <c r="E25" s="16" t="s">
        <v>7</v>
      </c>
      <c r="F25" s="31" t="n">
        <v>18</v>
      </c>
      <c r="G25" s="16" t="n">
        <f aca="false">COUNTIFS(Cotações!$D$2:$D$2,$A25)</f>
        <v>0</v>
      </c>
      <c r="H25" s="32" t="str">
        <f aca="false">IF(G25=0,"—",_xlfn.MINIFS(Cotações!$I$2:$I$2,Cotações!$D$2:$D$2,$A25))</f>
        <v>—</v>
      </c>
      <c r="I25" s="19" t="str">
        <f aca="false">IF(G25=0,"—",IFERROR(H25*F25,""))</f>
        <v>—</v>
      </c>
      <c r="J25" s="16" t="s">
        <v>165</v>
      </c>
    </row>
    <row r="26" customFormat="false" ht="15" hidden="false" customHeight="false" outlineLevel="0" collapsed="false">
      <c r="A26" s="21" t="s">
        <v>166</v>
      </c>
      <c r="B26" s="22" t="s">
        <v>97</v>
      </c>
      <c r="C26" s="22" t="s">
        <v>167</v>
      </c>
      <c r="D26" s="22"/>
      <c r="E26" s="21" t="s">
        <v>105</v>
      </c>
      <c r="F26" s="29" t="n">
        <v>1</v>
      </c>
      <c r="G26" s="21" t="n">
        <f aca="false">COUNTIFS(Cotações!$D$2:$D$2,$A26)</f>
        <v>0</v>
      </c>
      <c r="H26" s="30" t="str">
        <f aca="false">IF(G26=0,"—",_xlfn.MINIFS(Cotações!$I$2:$I$2,Cotações!$D$2:$D$2,$A26))</f>
        <v>—</v>
      </c>
      <c r="I26" s="24" t="str">
        <f aca="false">IF(G26=0,"—",IFERROR(H26*F26,""))</f>
        <v>—</v>
      </c>
      <c r="J26" s="21" t="s">
        <v>168</v>
      </c>
    </row>
    <row r="27" customFormat="false" ht="15" hidden="false" customHeight="false" outlineLevel="0" collapsed="false">
      <c r="A27" s="16" t="s">
        <v>169</v>
      </c>
      <c r="B27" s="17" t="s">
        <v>97</v>
      </c>
      <c r="C27" s="17" t="s">
        <v>170</v>
      </c>
      <c r="D27" s="17"/>
      <c r="E27" s="16" t="s">
        <v>105</v>
      </c>
      <c r="F27" s="31" t="n">
        <v>1</v>
      </c>
      <c r="G27" s="16" t="n">
        <f aca="false">COUNTIFS(Cotações!$D$2:$D$2,$A27)</f>
        <v>0</v>
      </c>
      <c r="H27" s="32" t="str">
        <f aca="false">IF(G27=0,"—",_xlfn.MINIFS(Cotações!$I$2:$I$2,Cotações!$D$2:$D$2,$A27))</f>
        <v>—</v>
      </c>
      <c r="I27" s="19" t="str">
        <f aca="false">IF(G27=0,"—",IFERROR(H27*F27,""))</f>
        <v>—</v>
      </c>
      <c r="J27" s="16" t="s">
        <v>171</v>
      </c>
    </row>
    <row r="28" customFormat="false" ht="22.35" hidden="false" customHeight="false" outlineLevel="0" collapsed="false">
      <c r="A28" s="21" t="s">
        <v>172</v>
      </c>
      <c r="B28" s="22" t="s">
        <v>97</v>
      </c>
      <c r="C28" s="22" t="s">
        <v>173</v>
      </c>
      <c r="D28" s="22"/>
      <c r="E28" s="21" t="s">
        <v>7</v>
      </c>
      <c r="F28" s="29" t="n">
        <v>5</v>
      </c>
      <c r="G28" s="21" t="n">
        <f aca="false">COUNTIFS(Cotações!$D$2:$D$2,$A28)</f>
        <v>0</v>
      </c>
      <c r="H28" s="30" t="str">
        <f aca="false">IF(G28=0,"—",_xlfn.MINIFS(Cotações!$I$2:$I$2,Cotações!$D$2:$D$2,$A28))</f>
        <v>—</v>
      </c>
      <c r="I28" s="24" t="str">
        <f aca="false">IF(G28=0,"—",IFERROR(H28*F28,""))</f>
        <v>—</v>
      </c>
      <c r="J28" s="21" t="s">
        <v>174</v>
      </c>
    </row>
    <row r="29" customFormat="false" ht="15" hidden="false" customHeight="false" outlineLevel="0" collapsed="false">
      <c r="A29" s="16" t="s">
        <v>175</v>
      </c>
      <c r="B29" s="17" t="s">
        <v>97</v>
      </c>
      <c r="C29" s="17" t="s">
        <v>176</v>
      </c>
      <c r="D29" s="17"/>
      <c r="E29" s="16" t="s">
        <v>177</v>
      </c>
      <c r="F29" s="31" t="n">
        <v>1</v>
      </c>
      <c r="G29" s="16" t="n">
        <f aca="false">COUNTIFS(Cotações!$D$2:$D$2,$A29)</f>
        <v>0</v>
      </c>
      <c r="H29" s="32" t="str">
        <f aca="false">IF(G29=0,"—",_xlfn.MINIFS(Cotações!$I$2:$I$2,Cotações!$D$2:$D$2,$A29))</f>
        <v>—</v>
      </c>
      <c r="I29" s="19" t="str">
        <f aca="false">IF(G29=0,"—",IFERROR(H29*F29,""))</f>
        <v>—</v>
      </c>
      <c r="J29" s="16" t="s">
        <v>178</v>
      </c>
    </row>
    <row r="30" customFormat="false" ht="22.35" hidden="false" customHeight="false" outlineLevel="0" collapsed="false">
      <c r="A30" s="21" t="s">
        <v>179</v>
      </c>
      <c r="B30" s="22" t="s">
        <v>97</v>
      </c>
      <c r="C30" s="22" t="s">
        <v>180</v>
      </c>
      <c r="D30" s="22"/>
      <c r="E30" s="21" t="s">
        <v>7</v>
      </c>
      <c r="F30" s="29" t="n">
        <v>10.5</v>
      </c>
      <c r="G30" s="21" t="n">
        <f aca="false">COUNTIFS(Cotações!$D$2:$D$2,$A30)</f>
        <v>0</v>
      </c>
      <c r="H30" s="30" t="str">
        <f aca="false">IF(G30=0,"—",_xlfn.MINIFS(Cotações!$I$2:$I$2,Cotações!$D$2:$D$2,$A30))</f>
        <v>—</v>
      </c>
      <c r="I30" s="24" t="str">
        <f aca="false">IF(G30=0,"—",IFERROR(H30*F30,""))</f>
        <v>—</v>
      </c>
      <c r="J30" s="21" t="s">
        <v>181</v>
      </c>
    </row>
    <row r="31" customFormat="false" ht="15" hidden="false" customHeight="false" outlineLevel="0" collapsed="false">
      <c r="A31" s="16" t="s">
        <v>182</v>
      </c>
      <c r="B31" s="17" t="s">
        <v>183</v>
      </c>
      <c r="C31" s="17" t="s">
        <v>184</v>
      </c>
      <c r="D31" s="17" t="s">
        <v>185</v>
      </c>
      <c r="E31" s="16" t="s">
        <v>131</v>
      </c>
      <c r="F31" s="31" t="n">
        <v>75</v>
      </c>
      <c r="G31" s="16" t="n">
        <f aca="false">COUNTIFS(Cotações!$D$2:$D$2,$A31)</f>
        <v>0</v>
      </c>
      <c r="H31" s="32" t="str">
        <f aca="false">IF(G31=0,"—",_xlfn.MINIFS(Cotações!$I$2:$I$2,Cotações!$D$2:$D$2,$A31))</f>
        <v>—</v>
      </c>
      <c r="I31" s="19" t="str">
        <f aca="false">IF(G31=0,"—",IFERROR(H31*F31,""))</f>
        <v>—</v>
      </c>
      <c r="J31" s="16" t="s">
        <v>186</v>
      </c>
    </row>
    <row r="32" customFormat="false" ht="15" hidden="false" customHeight="false" outlineLevel="0" collapsed="false">
      <c r="A32" s="21" t="s">
        <v>187</v>
      </c>
      <c r="B32" s="22" t="s">
        <v>183</v>
      </c>
      <c r="C32" s="22" t="s">
        <v>188</v>
      </c>
      <c r="D32" s="22" t="s">
        <v>189</v>
      </c>
      <c r="E32" s="21" t="s">
        <v>131</v>
      </c>
      <c r="F32" s="29" t="n">
        <v>75</v>
      </c>
      <c r="G32" s="21" t="n">
        <f aca="false">COUNTIFS(Cotações!$D$2:$D$2,$A32)</f>
        <v>0</v>
      </c>
      <c r="H32" s="30" t="str">
        <f aca="false">IF(G32=0,"—",_xlfn.MINIFS(Cotações!$I$2:$I$2,Cotações!$D$2:$D$2,$A32))</f>
        <v>—</v>
      </c>
      <c r="I32" s="24" t="str">
        <f aca="false">IF(G32=0,"—",IFERROR(H32*F32,""))</f>
        <v>—</v>
      </c>
      <c r="J32" s="21" t="s">
        <v>190</v>
      </c>
    </row>
    <row r="33" customFormat="false" ht="15" hidden="false" customHeight="false" outlineLevel="0" collapsed="false">
      <c r="A33" s="16" t="s">
        <v>191</v>
      </c>
      <c r="B33" s="17" t="s">
        <v>183</v>
      </c>
      <c r="C33" s="17" t="s">
        <v>192</v>
      </c>
      <c r="D33" s="17" t="s">
        <v>193</v>
      </c>
      <c r="E33" s="16" t="s">
        <v>131</v>
      </c>
      <c r="F33" s="31" t="n">
        <v>100</v>
      </c>
      <c r="G33" s="16" t="n">
        <f aca="false">COUNTIFS(Cotações!$D$2:$D$2,$A33)</f>
        <v>0</v>
      </c>
      <c r="H33" s="32" t="str">
        <f aca="false">IF(G33=0,"—",_xlfn.MINIFS(Cotações!$I$2:$I$2,Cotações!$D$2:$D$2,$A33))</f>
        <v>—</v>
      </c>
      <c r="I33" s="19" t="str">
        <f aca="false">IF(G33=0,"—",IFERROR(H33*F33,""))</f>
        <v>—</v>
      </c>
      <c r="J33" s="16" t="s">
        <v>194</v>
      </c>
    </row>
    <row r="34" customFormat="false" ht="15" hidden="false" customHeight="false" outlineLevel="0" collapsed="false">
      <c r="A34" s="21" t="s">
        <v>195</v>
      </c>
      <c r="B34" s="22" t="s">
        <v>183</v>
      </c>
      <c r="C34" s="22" t="s">
        <v>196</v>
      </c>
      <c r="D34" s="22" t="s">
        <v>197</v>
      </c>
      <c r="E34" s="21" t="s">
        <v>131</v>
      </c>
      <c r="F34" s="29" t="n">
        <v>18</v>
      </c>
      <c r="G34" s="21" t="n">
        <f aca="false">COUNTIFS(Cotações!$D$2:$D$2,$A34)</f>
        <v>0</v>
      </c>
      <c r="H34" s="30" t="str">
        <f aca="false">IF(G34=0,"—",_xlfn.MINIFS(Cotações!$I$2:$I$2,Cotações!$D$2:$D$2,$A34))</f>
        <v>—</v>
      </c>
      <c r="I34" s="24" t="str">
        <f aca="false">IF(G34=0,"—",IFERROR(H34*F34,""))</f>
        <v>—</v>
      </c>
      <c r="J34" s="21"/>
    </row>
    <row r="35" customFormat="false" ht="15" hidden="false" customHeight="false" outlineLevel="0" collapsed="false">
      <c r="A35" s="16" t="s">
        <v>198</v>
      </c>
      <c r="B35" s="17" t="s">
        <v>183</v>
      </c>
      <c r="C35" s="17" t="s">
        <v>199</v>
      </c>
      <c r="D35" s="17" t="s">
        <v>200</v>
      </c>
      <c r="E35" s="16" t="s">
        <v>131</v>
      </c>
      <c r="F35" s="31" t="n">
        <v>8</v>
      </c>
      <c r="G35" s="16" t="n">
        <f aca="false">COUNTIFS(Cotações!$D$2:$D$2,$A35)</f>
        <v>0</v>
      </c>
      <c r="H35" s="32" t="str">
        <f aca="false">IF(G35=0,"—",_xlfn.MINIFS(Cotações!$I$2:$I$2,Cotações!$D$2:$D$2,$A35))</f>
        <v>—</v>
      </c>
      <c r="I35" s="19" t="str">
        <f aca="false">IF(G35=0,"—",IFERROR(H35*F35,""))</f>
        <v>—</v>
      </c>
      <c r="J35" s="16" t="s">
        <v>201</v>
      </c>
    </row>
    <row r="36" customFormat="false" ht="15" hidden="false" customHeight="false" outlineLevel="0" collapsed="false">
      <c r="A36" s="21" t="s">
        <v>202</v>
      </c>
      <c r="B36" s="22" t="s">
        <v>183</v>
      </c>
      <c r="C36" s="22" t="s">
        <v>203</v>
      </c>
      <c r="D36" s="22" t="s">
        <v>204</v>
      </c>
      <c r="E36" s="21" t="s">
        <v>131</v>
      </c>
      <c r="F36" s="29" t="n">
        <v>26</v>
      </c>
      <c r="G36" s="21" t="n">
        <f aca="false">COUNTIFS(Cotações!$D$2:$D$2,$A36)</f>
        <v>0</v>
      </c>
      <c r="H36" s="30" t="str">
        <f aca="false">IF(G36=0,"—",_xlfn.MINIFS(Cotações!$I$2:$I$2,Cotações!$D$2:$D$2,$A36))</f>
        <v>—</v>
      </c>
      <c r="I36" s="24" t="str">
        <f aca="false">IF(G36=0,"—",IFERROR(H36*F36,""))</f>
        <v>—</v>
      </c>
      <c r="J36" s="21"/>
    </row>
    <row r="37" customFormat="false" ht="15" hidden="false" customHeight="false" outlineLevel="0" collapsed="false">
      <c r="A37" s="16" t="s">
        <v>205</v>
      </c>
      <c r="B37" s="17" t="s">
        <v>183</v>
      </c>
      <c r="C37" s="17" t="s">
        <v>206</v>
      </c>
      <c r="D37" s="17" t="s">
        <v>207</v>
      </c>
      <c r="E37" s="16" t="s">
        <v>131</v>
      </c>
      <c r="F37" s="31" t="n">
        <v>20</v>
      </c>
      <c r="G37" s="16" t="n">
        <f aca="false">COUNTIFS(Cotações!$D$2:$D$2,$A37)</f>
        <v>0</v>
      </c>
      <c r="H37" s="32" t="str">
        <f aca="false">IF(G37=0,"—",_xlfn.MINIFS(Cotações!$I$2:$I$2,Cotações!$D$2:$D$2,$A37))</f>
        <v>—</v>
      </c>
      <c r="I37" s="19" t="str">
        <f aca="false">IF(G37=0,"—",IFERROR(H37*F37,""))</f>
        <v>—</v>
      </c>
      <c r="J37" s="16"/>
    </row>
    <row r="38" customFormat="false" ht="15" hidden="false" customHeight="false" outlineLevel="0" collapsed="false">
      <c r="A38" s="21" t="s">
        <v>208</v>
      </c>
      <c r="B38" s="22" t="s">
        <v>183</v>
      </c>
      <c r="C38" s="22" t="s">
        <v>209</v>
      </c>
      <c r="D38" s="22" t="s">
        <v>210</v>
      </c>
      <c r="E38" s="21" t="s">
        <v>131</v>
      </c>
      <c r="F38" s="29" t="n">
        <v>22</v>
      </c>
      <c r="G38" s="21" t="n">
        <f aca="false">COUNTIFS(Cotações!$D$2:$D$2,$A38)</f>
        <v>0</v>
      </c>
      <c r="H38" s="30" t="str">
        <f aca="false">IF(G38=0,"—",_xlfn.MINIFS(Cotações!$I$2:$I$2,Cotações!$D$2:$D$2,$A38))</f>
        <v>—</v>
      </c>
      <c r="I38" s="24" t="str">
        <f aca="false">IF(G38=0,"—",IFERROR(H38*F38,""))</f>
        <v>—</v>
      </c>
      <c r="J38" s="21" t="s">
        <v>211</v>
      </c>
    </row>
    <row r="39" customFormat="false" ht="15" hidden="false" customHeight="false" outlineLevel="0" collapsed="false">
      <c r="A39" s="16" t="s">
        <v>212</v>
      </c>
      <c r="B39" s="17" t="s">
        <v>183</v>
      </c>
      <c r="C39" s="17" t="s">
        <v>213</v>
      </c>
      <c r="D39" s="17" t="s">
        <v>214</v>
      </c>
      <c r="E39" s="16" t="s">
        <v>131</v>
      </c>
      <c r="F39" s="31" t="n">
        <v>25</v>
      </c>
      <c r="G39" s="16" t="n">
        <f aca="false">COUNTIFS(Cotações!$D$2:$D$2,$A39)</f>
        <v>0</v>
      </c>
      <c r="H39" s="32" t="str">
        <f aca="false">IF(G39=0,"—",_xlfn.MINIFS(Cotações!$I$2:$I$2,Cotações!$D$2:$D$2,$A39))</f>
        <v>—</v>
      </c>
      <c r="I39" s="19" t="str">
        <f aca="false">IF(G39=0,"—",IFERROR(H39*F39,""))</f>
        <v>—</v>
      </c>
      <c r="J39" s="16"/>
    </row>
    <row r="40" customFormat="false" ht="15" hidden="false" customHeight="false" outlineLevel="0" collapsed="false">
      <c r="A40" s="21" t="s">
        <v>215</v>
      </c>
      <c r="B40" s="22" t="s">
        <v>183</v>
      </c>
      <c r="C40" s="22" t="s">
        <v>216</v>
      </c>
      <c r="D40" s="22" t="s">
        <v>217</v>
      </c>
      <c r="E40" s="21" t="s">
        <v>131</v>
      </c>
      <c r="F40" s="29" t="n">
        <v>15</v>
      </c>
      <c r="G40" s="21" t="n">
        <f aca="false">COUNTIFS(Cotações!$D$2:$D$2,$A40)</f>
        <v>0</v>
      </c>
      <c r="H40" s="30" t="str">
        <f aca="false">IF(G40=0,"—",_xlfn.MINIFS(Cotações!$I$2:$I$2,Cotações!$D$2:$D$2,$A40))</f>
        <v>—</v>
      </c>
      <c r="I40" s="24" t="str">
        <f aca="false">IF(G40=0,"—",IFERROR(H40*F40,""))</f>
        <v>—</v>
      </c>
      <c r="J40" s="21"/>
    </row>
    <row r="41" customFormat="false" ht="15" hidden="false" customHeight="false" outlineLevel="0" collapsed="false">
      <c r="A41" s="16" t="s">
        <v>218</v>
      </c>
      <c r="B41" s="17" t="s">
        <v>183</v>
      </c>
      <c r="C41" s="17" t="s">
        <v>219</v>
      </c>
      <c r="D41" s="17" t="s">
        <v>220</v>
      </c>
      <c r="E41" s="16" t="s">
        <v>131</v>
      </c>
      <c r="F41" s="31" t="n">
        <v>12</v>
      </c>
      <c r="G41" s="16" t="n">
        <f aca="false">COUNTIFS(Cotações!$D$2:$D$2,$A41)</f>
        <v>0</v>
      </c>
      <c r="H41" s="32" t="str">
        <f aca="false">IF(G41=0,"—",_xlfn.MINIFS(Cotações!$I$2:$I$2,Cotações!$D$2:$D$2,$A41))</f>
        <v>—</v>
      </c>
      <c r="I41" s="19" t="str">
        <f aca="false">IF(G41=0,"—",IFERROR(H41*F41,""))</f>
        <v>—</v>
      </c>
      <c r="J41" s="16" t="s">
        <v>221</v>
      </c>
    </row>
    <row r="42" customFormat="false" ht="15" hidden="false" customHeight="false" outlineLevel="0" collapsed="false">
      <c r="A42" s="21" t="s">
        <v>222</v>
      </c>
      <c r="B42" s="22" t="s">
        <v>183</v>
      </c>
      <c r="C42" s="22" t="s">
        <v>223</v>
      </c>
      <c r="D42" s="22" t="s">
        <v>224</v>
      </c>
      <c r="E42" s="21" t="s">
        <v>177</v>
      </c>
      <c r="F42" s="29" t="n">
        <v>45</v>
      </c>
      <c r="G42" s="21" t="n">
        <f aca="false">COUNTIFS(Cotações!$D$2:$D$2,$A42)</f>
        <v>0</v>
      </c>
      <c r="H42" s="30" t="str">
        <f aca="false">IF(G42=0,"—",_xlfn.MINIFS(Cotações!$I$2:$I$2,Cotações!$D$2:$D$2,$A42))</f>
        <v>—</v>
      </c>
      <c r="I42" s="24" t="str">
        <f aca="false">IF(G42=0,"—",IFERROR(H42*F42,""))</f>
        <v>—</v>
      </c>
      <c r="J42" s="21"/>
    </row>
    <row r="43" customFormat="false" ht="15" hidden="false" customHeight="false" outlineLevel="0" collapsed="false">
      <c r="A43" s="16" t="s">
        <v>225</v>
      </c>
      <c r="B43" s="17" t="s">
        <v>183</v>
      </c>
      <c r="C43" s="17" t="s">
        <v>226</v>
      </c>
      <c r="D43" s="17"/>
      <c r="E43" s="16" t="s">
        <v>177</v>
      </c>
      <c r="F43" s="31" t="n">
        <v>5</v>
      </c>
      <c r="G43" s="16" t="n">
        <f aca="false">COUNTIFS(Cotações!$D$2:$D$2,$A43)</f>
        <v>0</v>
      </c>
      <c r="H43" s="32" t="str">
        <f aca="false">IF(G43=0,"—",_xlfn.MINIFS(Cotações!$I$2:$I$2,Cotações!$D$2:$D$2,$A43))</f>
        <v>—</v>
      </c>
      <c r="I43" s="19" t="str">
        <f aca="false">IF(G43=0,"—",IFERROR(H43*F43,""))</f>
        <v>—</v>
      </c>
      <c r="J43" s="16" t="s">
        <v>227</v>
      </c>
    </row>
    <row r="44" customFormat="false" ht="15" hidden="false" customHeight="false" outlineLevel="0" collapsed="false">
      <c r="A44" s="21" t="s">
        <v>228</v>
      </c>
      <c r="B44" s="22" t="s">
        <v>183</v>
      </c>
      <c r="C44" s="22" t="s">
        <v>229</v>
      </c>
      <c r="D44" s="22" t="s">
        <v>230</v>
      </c>
      <c r="E44" s="21" t="s">
        <v>177</v>
      </c>
      <c r="F44" s="29" t="n">
        <v>3</v>
      </c>
      <c r="G44" s="21" t="n">
        <f aca="false">COUNTIFS(Cotações!$D$2:$D$2,$A44)</f>
        <v>0</v>
      </c>
      <c r="H44" s="30" t="str">
        <f aca="false">IF(G44=0,"—",_xlfn.MINIFS(Cotações!$I$2:$I$2,Cotações!$D$2:$D$2,$A44))</f>
        <v>—</v>
      </c>
      <c r="I44" s="24" t="str">
        <f aca="false">IF(G44=0,"—",IFERROR(H44*F44,""))</f>
        <v>—</v>
      </c>
      <c r="J44" s="21" t="s">
        <v>231</v>
      </c>
    </row>
    <row r="45" customFormat="false" ht="15" hidden="false" customHeight="false" outlineLevel="0" collapsed="false">
      <c r="A45" s="16" t="s">
        <v>232</v>
      </c>
      <c r="B45" s="17" t="s">
        <v>183</v>
      </c>
      <c r="C45" s="17" t="s">
        <v>233</v>
      </c>
      <c r="D45" s="17" t="s">
        <v>234</v>
      </c>
      <c r="E45" s="16" t="s">
        <v>177</v>
      </c>
      <c r="F45" s="31" t="n">
        <v>1</v>
      </c>
      <c r="G45" s="16" t="n">
        <f aca="false">COUNTIFS(Cotações!$D$2:$D$2,$A45)</f>
        <v>0</v>
      </c>
      <c r="H45" s="32" t="str">
        <f aca="false">IF(G45=0,"—",_xlfn.MINIFS(Cotações!$I$2:$I$2,Cotações!$D$2:$D$2,$A45))</f>
        <v>—</v>
      </c>
      <c r="I45" s="19" t="str">
        <f aca="false">IF(G45=0,"—",IFERROR(H45*F45,""))</f>
        <v>—</v>
      </c>
      <c r="J45" s="16"/>
    </row>
    <row r="46" customFormat="false" ht="15" hidden="false" customHeight="false" outlineLevel="0" collapsed="false">
      <c r="A46" s="21" t="s">
        <v>235</v>
      </c>
      <c r="B46" s="22" t="s">
        <v>183</v>
      </c>
      <c r="C46" s="22" t="s">
        <v>236</v>
      </c>
      <c r="D46" s="22"/>
      <c r="E46" s="21" t="s">
        <v>177</v>
      </c>
      <c r="F46" s="29" t="n">
        <v>2</v>
      </c>
      <c r="G46" s="21" t="n">
        <f aca="false">COUNTIFS(Cotações!$D$2:$D$2,$A46)</f>
        <v>0</v>
      </c>
      <c r="H46" s="30" t="str">
        <f aca="false">IF(G46=0,"—",_xlfn.MINIFS(Cotações!$I$2:$I$2,Cotações!$D$2:$D$2,$A46))</f>
        <v>—</v>
      </c>
      <c r="I46" s="24" t="str">
        <f aca="false">IF(G46=0,"—",IFERROR(H46*F46,""))</f>
        <v>—</v>
      </c>
      <c r="J46" s="21" t="s">
        <v>237</v>
      </c>
    </row>
    <row r="47" customFormat="false" ht="15" hidden="false" customHeight="false" outlineLevel="0" collapsed="false">
      <c r="A47" s="16" t="s">
        <v>238</v>
      </c>
      <c r="B47" s="17" t="s">
        <v>183</v>
      </c>
      <c r="C47" s="17" t="s">
        <v>239</v>
      </c>
      <c r="D47" s="17" t="s">
        <v>240</v>
      </c>
      <c r="E47" s="16" t="s">
        <v>177</v>
      </c>
      <c r="F47" s="31" t="n">
        <v>1</v>
      </c>
      <c r="G47" s="16" t="n">
        <f aca="false">COUNTIFS(Cotações!$D$2:$D$2,$A47)</f>
        <v>0</v>
      </c>
      <c r="H47" s="32" t="str">
        <f aca="false">IF(G47=0,"—",_xlfn.MINIFS(Cotações!$I$2:$I$2,Cotações!$D$2:$D$2,$A47))</f>
        <v>—</v>
      </c>
      <c r="I47" s="19" t="str">
        <f aca="false">IF(G47=0,"—",IFERROR(H47*F47,""))</f>
        <v>—</v>
      </c>
      <c r="J47" s="16" t="s">
        <v>241</v>
      </c>
    </row>
    <row r="48" customFormat="false" ht="15" hidden="false" customHeight="false" outlineLevel="0" collapsed="false">
      <c r="A48" s="21" t="s">
        <v>242</v>
      </c>
      <c r="B48" s="22" t="s">
        <v>183</v>
      </c>
      <c r="C48" s="22" t="s">
        <v>243</v>
      </c>
      <c r="D48" s="22" t="s">
        <v>244</v>
      </c>
      <c r="E48" s="21" t="s">
        <v>177</v>
      </c>
      <c r="F48" s="29" t="n">
        <v>1</v>
      </c>
      <c r="G48" s="21" t="n">
        <f aca="false">COUNTIFS(Cotações!$D$2:$D$2,$A48)</f>
        <v>0</v>
      </c>
      <c r="H48" s="30" t="str">
        <f aca="false">IF(G48=0,"—",_xlfn.MINIFS(Cotações!$I$2:$I$2,Cotações!$D$2:$D$2,$A48))</f>
        <v>—</v>
      </c>
      <c r="I48" s="24" t="str">
        <f aca="false">IF(G48=0,"—",IFERROR(H48*F48,""))</f>
        <v>—</v>
      </c>
      <c r="J48" s="21"/>
    </row>
    <row r="49" customFormat="false" ht="15" hidden="false" customHeight="false" outlineLevel="0" collapsed="false">
      <c r="A49" s="16" t="s">
        <v>245</v>
      </c>
      <c r="B49" s="17" t="s">
        <v>183</v>
      </c>
      <c r="C49" s="17" t="s">
        <v>246</v>
      </c>
      <c r="D49" s="17" t="s">
        <v>247</v>
      </c>
      <c r="E49" s="16" t="s">
        <v>177</v>
      </c>
      <c r="F49" s="31" t="n">
        <v>60</v>
      </c>
      <c r="G49" s="16" t="n">
        <f aca="false">COUNTIFS(Cotações!$D$2:$D$2,$A49)</f>
        <v>0</v>
      </c>
      <c r="H49" s="32" t="str">
        <f aca="false">IF(G49=0,"—",_xlfn.MINIFS(Cotações!$I$2:$I$2,Cotações!$D$2:$D$2,$A49))</f>
        <v>—</v>
      </c>
      <c r="I49" s="19" t="str">
        <f aca="false">IF(G49=0,"—",IFERROR(H49*F49,""))</f>
        <v>—</v>
      </c>
      <c r="J49" s="16"/>
    </row>
    <row r="50" customFormat="false" ht="15" hidden="false" customHeight="false" outlineLevel="0" collapsed="false">
      <c r="A50" s="21" t="s">
        <v>248</v>
      </c>
      <c r="B50" s="22" t="s">
        <v>183</v>
      </c>
      <c r="C50" s="22" t="s">
        <v>249</v>
      </c>
      <c r="D50" s="22" t="s">
        <v>250</v>
      </c>
      <c r="E50" s="21" t="s">
        <v>177</v>
      </c>
      <c r="F50" s="29" t="n">
        <v>35</v>
      </c>
      <c r="G50" s="21" t="n">
        <f aca="false">COUNTIFS(Cotações!$D$2:$D$2,$A50)</f>
        <v>0</v>
      </c>
      <c r="H50" s="30" t="str">
        <f aca="false">IF(G50=0,"—",_xlfn.MINIFS(Cotações!$I$2:$I$2,Cotações!$D$2:$D$2,$A50))</f>
        <v>—</v>
      </c>
      <c r="I50" s="24" t="str">
        <f aca="false">IF(G50=0,"—",IFERROR(H50*F50,""))</f>
        <v>—</v>
      </c>
      <c r="J50" s="21"/>
    </row>
    <row r="51" customFormat="false" ht="15" hidden="false" customHeight="false" outlineLevel="0" collapsed="false">
      <c r="A51" s="16" t="s">
        <v>251</v>
      </c>
      <c r="B51" s="17" t="s">
        <v>183</v>
      </c>
      <c r="C51" s="17" t="s">
        <v>252</v>
      </c>
      <c r="D51" s="17"/>
      <c r="E51" s="16" t="s">
        <v>177</v>
      </c>
      <c r="F51" s="31" t="n">
        <v>12</v>
      </c>
      <c r="G51" s="16" t="n">
        <f aca="false">COUNTIFS(Cotações!$D$2:$D$2,$A51)</f>
        <v>0</v>
      </c>
      <c r="H51" s="32" t="str">
        <f aca="false">IF(G51=0,"—",_xlfn.MINIFS(Cotações!$I$2:$I$2,Cotações!$D$2:$D$2,$A51))</f>
        <v>—</v>
      </c>
      <c r="I51" s="19" t="str">
        <f aca="false">IF(G51=0,"—",IFERROR(H51*F51,""))</f>
        <v>—</v>
      </c>
      <c r="J51" s="16" t="s">
        <v>253</v>
      </c>
    </row>
    <row r="52" customFormat="false" ht="15" hidden="false" customHeight="false" outlineLevel="0" collapsed="false">
      <c r="A52" s="21" t="s">
        <v>254</v>
      </c>
      <c r="B52" s="22" t="s">
        <v>183</v>
      </c>
      <c r="C52" s="22" t="s">
        <v>255</v>
      </c>
      <c r="D52" s="22"/>
      <c r="E52" s="21" t="s">
        <v>177</v>
      </c>
      <c r="F52" s="29" t="n">
        <v>3</v>
      </c>
      <c r="G52" s="21" t="n">
        <f aca="false">COUNTIFS(Cotações!$D$2:$D$2,$A52)</f>
        <v>0</v>
      </c>
      <c r="H52" s="30" t="str">
        <f aca="false">IF(G52=0,"—",_xlfn.MINIFS(Cotações!$I$2:$I$2,Cotações!$D$2:$D$2,$A52))</f>
        <v>—</v>
      </c>
      <c r="I52" s="24" t="str">
        <f aca="false">IF(G52=0,"—",IFERROR(H52*F52,""))</f>
        <v>—</v>
      </c>
      <c r="J52" s="21" t="s">
        <v>256</v>
      </c>
    </row>
    <row r="53" customFormat="false" ht="15" hidden="false" customHeight="false" outlineLevel="0" collapsed="false">
      <c r="A53" s="16" t="s">
        <v>257</v>
      </c>
      <c r="B53" s="17" t="s">
        <v>183</v>
      </c>
      <c r="C53" s="17" t="s">
        <v>258</v>
      </c>
      <c r="D53" s="17" t="s">
        <v>259</v>
      </c>
      <c r="E53" s="16" t="s">
        <v>177</v>
      </c>
      <c r="F53" s="31" t="n">
        <v>1</v>
      </c>
      <c r="G53" s="16" t="n">
        <f aca="false">COUNTIFS(Cotações!$D$2:$D$2,$A53)</f>
        <v>0</v>
      </c>
      <c r="H53" s="32" t="str">
        <f aca="false">IF(G53=0,"—",_xlfn.MINIFS(Cotações!$I$2:$I$2,Cotações!$D$2:$D$2,$A53))</f>
        <v>—</v>
      </c>
      <c r="I53" s="19" t="str">
        <f aca="false">IF(G53=0,"—",IFERROR(H53*F53,""))</f>
        <v>—</v>
      </c>
      <c r="J53" s="16" t="s">
        <v>260</v>
      </c>
    </row>
    <row r="54" customFormat="false" ht="15" hidden="false" customHeight="false" outlineLevel="0" collapsed="false">
      <c r="A54" s="21" t="s">
        <v>261</v>
      </c>
      <c r="B54" s="22" t="s">
        <v>183</v>
      </c>
      <c r="C54" s="22" t="s">
        <v>262</v>
      </c>
      <c r="D54" s="22"/>
      <c r="E54" s="21" t="s">
        <v>177</v>
      </c>
      <c r="F54" s="29" t="n">
        <v>1</v>
      </c>
      <c r="G54" s="21" t="n">
        <f aca="false">COUNTIFS(Cotações!$D$2:$D$2,$A54)</f>
        <v>0</v>
      </c>
      <c r="H54" s="30" t="str">
        <f aca="false">IF(G54=0,"—",_xlfn.MINIFS(Cotações!$I$2:$I$2,Cotações!$D$2:$D$2,$A54))</f>
        <v>—</v>
      </c>
      <c r="I54" s="24" t="str">
        <f aca="false">IF(G54=0,"—",IFERROR(H54*F54,""))</f>
        <v>—</v>
      </c>
      <c r="J54" s="21" t="s">
        <v>263</v>
      </c>
    </row>
    <row r="55" customFormat="false" ht="15" hidden="false" customHeight="false" outlineLevel="0" collapsed="false">
      <c r="A55" s="16" t="s">
        <v>264</v>
      </c>
      <c r="B55" s="17" t="s">
        <v>183</v>
      </c>
      <c r="C55" s="17" t="s">
        <v>265</v>
      </c>
      <c r="D55" s="17"/>
      <c r="E55" s="16" t="s">
        <v>177</v>
      </c>
      <c r="F55" s="31" t="n">
        <v>1</v>
      </c>
      <c r="G55" s="16" t="n">
        <f aca="false">COUNTIFS(Cotações!$D$2:$D$2,$A55)</f>
        <v>0</v>
      </c>
      <c r="H55" s="32" t="str">
        <f aca="false">IF(G55=0,"—",_xlfn.MINIFS(Cotações!$I$2:$I$2,Cotações!$D$2:$D$2,$A55))</f>
        <v>—</v>
      </c>
      <c r="I55" s="19" t="str">
        <f aca="false">IF(G55=0,"—",IFERROR(H55*F55,""))</f>
        <v>—</v>
      </c>
      <c r="J55" s="16"/>
    </row>
    <row r="56" customFormat="false" ht="15" hidden="false" customHeight="false" outlineLevel="0" collapsed="false">
      <c r="A56" s="21" t="s">
        <v>266</v>
      </c>
      <c r="B56" s="22" t="s">
        <v>183</v>
      </c>
      <c r="C56" s="22" t="s">
        <v>267</v>
      </c>
      <c r="D56" s="22"/>
      <c r="E56" s="21" t="s">
        <v>177</v>
      </c>
      <c r="F56" s="29" t="n">
        <v>1</v>
      </c>
      <c r="G56" s="21" t="n">
        <f aca="false">COUNTIFS(Cotações!$D$2:$D$2,$A56)</f>
        <v>0</v>
      </c>
      <c r="H56" s="30" t="str">
        <f aca="false">IF(G56=0,"—",_xlfn.MINIFS(Cotações!$I$2:$I$2,Cotações!$D$2:$D$2,$A56))</f>
        <v>—</v>
      </c>
      <c r="I56" s="24" t="str">
        <f aca="false">IF(G56=0,"—",IFERROR(H56*F56,""))</f>
        <v>—</v>
      </c>
      <c r="J56" s="21"/>
    </row>
    <row r="57" customFormat="false" ht="15" hidden="false" customHeight="false" outlineLevel="0" collapsed="false">
      <c r="A57" s="16" t="s">
        <v>268</v>
      </c>
      <c r="B57" s="17" t="s">
        <v>183</v>
      </c>
      <c r="C57" s="17" t="s">
        <v>269</v>
      </c>
      <c r="D57" s="17" t="s">
        <v>270</v>
      </c>
      <c r="E57" s="16" t="s">
        <v>177</v>
      </c>
      <c r="F57" s="31" t="n">
        <v>1</v>
      </c>
      <c r="G57" s="16" t="n">
        <f aca="false">COUNTIFS(Cotações!$D$2:$D$2,$A57)</f>
        <v>0</v>
      </c>
      <c r="H57" s="32" t="str">
        <f aca="false">IF(G57=0,"—",_xlfn.MINIFS(Cotações!$I$2:$I$2,Cotações!$D$2:$D$2,$A57))</f>
        <v>—</v>
      </c>
      <c r="I57" s="19" t="str">
        <f aca="false">IF(G57=0,"—",IFERROR(H57*F57,""))</f>
        <v>—</v>
      </c>
      <c r="J57" s="16" t="s">
        <v>271</v>
      </c>
    </row>
    <row r="58" customFormat="false" ht="15" hidden="false" customHeight="false" outlineLevel="0" collapsed="false">
      <c r="A58" s="21" t="s">
        <v>272</v>
      </c>
      <c r="B58" s="22" t="s">
        <v>183</v>
      </c>
      <c r="C58" s="22" t="s">
        <v>273</v>
      </c>
      <c r="D58" s="22" t="s">
        <v>274</v>
      </c>
      <c r="E58" s="21" t="s">
        <v>177</v>
      </c>
      <c r="F58" s="29" t="n">
        <v>1</v>
      </c>
      <c r="G58" s="21" t="n">
        <f aca="false">COUNTIFS(Cotações!$D$2:$D$2,$A58)</f>
        <v>0</v>
      </c>
      <c r="H58" s="30" t="str">
        <f aca="false">IF(G58=0,"—",_xlfn.MINIFS(Cotações!$I$2:$I$2,Cotações!$D$2:$D$2,$A58))</f>
        <v>—</v>
      </c>
      <c r="I58" s="24" t="str">
        <f aca="false">IF(G58=0,"—",IFERROR(H58*F58,""))</f>
        <v>—</v>
      </c>
      <c r="J58" s="21" t="s">
        <v>275</v>
      </c>
    </row>
    <row r="59" customFormat="false" ht="15" hidden="false" customHeight="false" outlineLevel="0" collapsed="false">
      <c r="A59" s="16" t="s">
        <v>276</v>
      </c>
      <c r="B59" s="17" t="s">
        <v>183</v>
      </c>
      <c r="C59" s="17" t="s">
        <v>277</v>
      </c>
      <c r="D59" s="17" t="s">
        <v>278</v>
      </c>
      <c r="E59" s="16" t="s">
        <v>177</v>
      </c>
      <c r="F59" s="31" t="n">
        <v>1</v>
      </c>
      <c r="G59" s="16" t="n">
        <f aca="false">COUNTIFS(Cotações!$D$2:$D$2,$A59)</f>
        <v>0</v>
      </c>
      <c r="H59" s="32" t="str">
        <f aca="false">IF(G59=0,"—",_xlfn.MINIFS(Cotações!$I$2:$I$2,Cotações!$D$2:$D$2,$A59))</f>
        <v>—</v>
      </c>
      <c r="I59" s="19" t="str">
        <f aca="false">IF(G59=0,"—",IFERROR(H59*F59,""))</f>
        <v>—</v>
      </c>
      <c r="J59" s="16" t="s">
        <v>279</v>
      </c>
    </row>
    <row r="60" customFormat="false" ht="15" hidden="false" customHeight="false" outlineLevel="0" collapsed="false">
      <c r="A60" s="21" t="s">
        <v>280</v>
      </c>
      <c r="B60" s="22" t="s">
        <v>183</v>
      </c>
      <c r="C60" s="22" t="s">
        <v>281</v>
      </c>
      <c r="D60" s="22" t="s">
        <v>282</v>
      </c>
      <c r="E60" s="21" t="s">
        <v>177</v>
      </c>
      <c r="F60" s="29" t="n">
        <v>1</v>
      </c>
      <c r="G60" s="21" t="n">
        <f aca="false">COUNTIFS(Cotações!$D$2:$D$2,$A60)</f>
        <v>0</v>
      </c>
      <c r="H60" s="30" t="str">
        <f aca="false">IF(G60=0,"—",_xlfn.MINIFS(Cotações!$I$2:$I$2,Cotações!$D$2:$D$2,$A60))</f>
        <v>—</v>
      </c>
      <c r="I60" s="24" t="str">
        <f aca="false">IF(G60=0,"—",IFERROR(H60*F60,""))</f>
        <v>—</v>
      </c>
      <c r="J60" s="21" t="s">
        <v>283</v>
      </c>
    </row>
    <row r="61" customFormat="false" ht="15" hidden="false" customHeight="false" outlineLevel="0" collapsed="false">
      <c r="A61" s="16" t="s">
        <v>284</v>
      </c>
      <c r="B61" s="17" t="s">
        <v>183</v>
      </c>
      <c r="C61" s="17" t="s">
        <v>285</v>
      </c>
      <c r="D61" s="17" t="s">
        <v>286</v>
      </c>
      <c r="E61" s="16" t="s">
        <v>177</v>
      </c>
      <c r="F61" s="31" t="n">
        <v>1</v>
      </c>
      <c r="G61" s="16" t="n">
        <f aca="false">COUNTIFS(Cotações!$D$2:$D$2,$A61)</f>
        <v>0</v>
      </c>
      <c r="H61" s="32" t="str">
        <f aca="false">IF(G61=0,"—",_xlfn.MINIFS(Cotações!$I$2:$I$2,Cotações!$D$2:$D$2,$A61))</f>
        <v>—</v>
      </c>
      <c r="I61" s="19" t="str">
        <f aca="false">IF(G61=0,"—",IFERROR(H61*F61,""))</f>
        <v>—</v>
      </c>
      <c r="J61" s="16"/>
    </row>
    <row r="62" customFormat="false" ht="15" hidden="false" customHeight="false" outlineLevel="0" collapsed="false">
      <c r="A62" s="21" t="s">
        <v>287</v>
      </c>
      <c r="B62" s="22" t="s">
        <v>183</v>
      </c>
      <c r="C62" s="22" t="s">
        <v>288</v>
      </c>
      <c r="D62" s="22"/>
      <c r="E62" s="21" t="s">
        <v>177</v>
      </c>
      <c r="F62" s="29" t="n">
        <v>2</v>
      </c>
      <c r="G62" s="21" t="n">
        <f aca="false">COUNTIFS(Cotações!$D$2:$D$2,$A62)</f>
        <v>0</v>
      </c>
      <c r="H62" s="30" t="str">
        <f aca="false">IF(G62=0,"—",_xlfn.MINIFS(Cotações!$I$2:$I$2,Cotações!$D$2:$D$2,$A62))</f>
        <v>—</v>
      </c>
      <c r="I62" s="24" t="str">
        <f aca="false">IF(G62=0,"—",IFERROR(H62*F62,""))</f>
        <v>—</v>
      </c>
      <c r="J62" s="21" t="s">
        <v>289</v>
      </c>
    </row>
    <row r="63" customFormat="false" ht="15" hidden="false" customHeight="false" outlineLevel="0" collapsed="false">
      <c r="A63" s="16" t="s">
        <v>290</v>
      </c>
      <c r="B63" s="17" t="s">
        <v>183</v>
      </c>
      <c r="C63" s="17" t="s">
        <v>291</v>
      </c>
      <c r="D63" s="17" t="s">
        <v>292</v>
      </c>
      <c r="E63" s="16" t="s">
        <v>131</v>
      </c>
      <c r="F63" s="31" t="n">
        <v>10</v>
      </c>
      <c r="G63" s="16" t="n">
        <f aca="false">COUNTIFS(Cotações!$D$2:$D$2,$A63)</f>
        <v>0</v>
      </c>
      <c r="H63" s="32" t="str">
        <f aca="false">IF(G63=0,"—",_xlfn.MINIFS(Cotações!$I$2:$I$2,Cotações!$D$2:$D$2,$A63))</f>
        <v>—</v>
      </c>
      <c r="I63" s="19" t="str">
        <f aca="false">IF(G63=0,"—",IFERROR(H63*F63,""))</f>
        <v>—</v>
      </c>
      <c r="J63" s="16" t="s">
        <v>293</v>
      </c>
    </row>
    <row r="64" customFormat="false" ht="15" hidden="false" customHeight="false" outlineLevel="0" collapsed="false">
      <c r="A64" s="21" t="s">
        <v>294</v>
      </c>
      <c r="B64" s="22" t="s">
        <v>183</v>
      </c>
      <c r="C64" s="22" t="s">
        <v>295</v>
      </c>
      <c r="D64" s="22" t="s">
        <v>296</v>
      </c>
      <c r="E64" s="21" t="s">
        <v>105</v>
      </c>
      <c r="F64" s="29" t="n">
        <v>1</v>
      </c>
      <c r="G64" s="21" t="n">
        <f aca="false">COUNTIFS(Cotações!$D$2:$D$2,$A64)</f>
        <v>0</v>
      </c>
      <c r="H64" s="30" t="str">
        <f aca="false">IF(G64=0,"—",_xlfn.MINIFS(Cotações!$I$2:$I$2,Cotações!$D$2:$D$2,$A64))</f>
        <v>—</v>
      </c>
      <c r="I64" s="24" t="str">
        <f aca="false">IF(G64=0,"—",IFERROR(H64*F64,""))</f>
        <v>—</v>
      </c>
      <c r="J64" s="21"/>
    </row>
    <row r="65" customFormat="false" ht="15" hidden="false" customHeight="false" outlineLevel="0" collapsed="false">
      <c r="A65" s="16" t="s">
        <v>297</v>
      </c>
      <c r="B65" s="17" t="s">
        <v>183</v>
      </c>
      <c r="C65" s="17" t="s">
        <v>298</v>
      </c>
      <c r="D65" s="17" t="s">
        <v>299</v>
      </c>
      <c r="E65" s="16" t="s">
        <v>105</v>
      </c>
      <c r="F65" s="31" t="n">
        <v>1</v>
      </c>
      <c r="G65" s="16" t="n">
        <f aca="false">COUNTIFS(Cotações!$D$2:$D$2,$A65)</f>
        <v>0</v>
      </c>
      <c r="H65" s="32" t="str">
        <f aca="false">IF(G65=0,"—",_xlfn.MINIFS(Cotações!$I$2:$I$2,Cotações!$D$2:$D$2,$A65))</f>
        <v>—</v>
      </c>
      <c r="I65" s="19" t="str">
        <f aca="false">IF(G65=0,"—",IFERROR(H65*F65,""))</f>
        <v>—</v>
      </c>
      <c r="J65" s="16" t="s">
        <v>300</v>
      </c>
    </row>
    <row r="66" customFormat="false" ht="15" hidden="false" customHeight="false" outlineLevel="0" collapsed="false">
      <c r="A66" s="21" t="s">
        <v>301</v>
      </c>
      <c r="B66" s="22" t="s">
        <v>183</v>
      </c>
      <c r="C66" s="22" t="s">
        <v>302</v>
      </c>
      <c r="D66" s="22" t="s">
        <v>303</v>
      </c>
      <c r="E66" s="21" t="s">
        <v>105</v>
      </c>
      <c r="F66" s="29" t="n">
        <v>1</v>
      </c>
      <c r="G66" s="21" t="n">
        <f aca="false">COUNTIFS(Cotações!$D$2:$D$2,$A66)</f>
        <v>0</v>
      </c>
      <c r="H66" s="30" t="str">
        <f aca="false">IF(G66=0,"—",_xlfn.MINIFS(Cotações!$I$2:$I$2,Cotações!$D$2:$D$2,$A66))</f>
        <v>—</v>
      </c>
      <c r="I66" s="24" t="str">
        <f aca="false">IF(G66=0,"—",IFERROR(H66*F66,""))</f>
        <v>—</v>
      </c>
      <c r="J66" s="21" t="s">
        <v>304</v>
      </c>
    </row>
    <row r="67" customFormat="false" ht="15" hidden="false" customHeight="false" outlineLevel="0" collapsed="false">
      <c r="A67" s="16" t="s">
        <v>305</v>
      </c>
      <c r="B67" s="17" t="s">
        <v>306</v>
      </c>
      <c r="C67" s="17" t="s">
        <v>307</v>
      </c>
      <c r="D67" s="17" t="s">
        <v>308</v>
      </c>
      <c r="E67" s="16" t="s">
        <v>105</v>
      </c>
      <c r="F67" s="31" t="n">
        <v>1</v>
      </c>
      <c r="G67" s="16" t="n">
        <f aca="false">COUNTIFS(Cotações!$D$2:$D$2,$A67)</f>
        <v>0</v>
      </c>
      <c r="H67" s="32" t="str">
        <f aca="false">IF(G67=0,"—",_xlfn.MINIFS(Cotações!$I$2:$I$2,Cotações!$D$2:$D$2,$A67))</f>
        <v>—</v>
      </c>
      <c r="I67" s="19" t="str">
        <f aca="false">IF(G67=0,"—",IFERROR(H67*F67,""))</f>
        <v>—</v>
      </c>
      <c r="J67" s="16" t="s">
        <v>309</v>
      </c>
    </row>
    <row r="68" customFormat="false" ht="15" hidden="false" customHeight="false" outlineLevel="0" collapsed="false">
      <c r="A68" s="21" t="s">
        <v>310</v>
      </c>
      <c r="B68" s="22" t="s">
        <v>306</v>
      </c>
      <c r="C68" s="22" t="s">
        <v>311</v>
      </c>
      <c r="D68" s="22" t="s">
        <v>312</v>
      </c>
      <c r="E68" s="21" t="s">
        <v>131</v>
      </c>
      <c r="F68" s="29" t="n">
        <v>18</v>
      </c>
      <c r="G68" s="21" t="n">
        <f aca="false">COUNTIFS(Cotações!$D$2:$D$2,$A68)</f>
        <v>0</v>
      </c>
      <c r="H68" s="30" t="str">
        <f aca="false">IF(G68=0,"—",_xlfn.MINIFS(Cotações!$I$2:$I$2,Cotações!$D$2:$D$2,$A68))</f>
        <v>—</v>
      </c>
      <c r="I68" s="24" t="str">
        <f aca="false">IF(G68=0,"—",IFERROR(H68*F68,""))</f>
        <v>—</v>
      </c>
      <c r="J68" s="21"/>
    </row>
    <row r="69" customFormat="false" ht="15" hidden="false" customHeight="false" outlineLevel="0" collapsed="false">
      <c r="A69" s="16" t="s">
        <v>313</v>
      </c>
      <c r="B69" s="17" t="s">
        <v>306</v>
      </c>
      <c r="C69" s="17" t="s">
        <v>314</v>
      </c>
      <c r="D69" s="17" t="s">
        <v>315</v>
      </c>
      <c r="E69" s="16" t="s">
        <v>177</v>
      </c>
      <c r="F69" s="31" t="n">
        <v>1</v>
      </c>
      <c r="G69" s="16" t="n">
        <f aca="false">COUNTIFS(Cotações!$D$2:$D$2,$A69)</f>
        <v>0</v>
      </c>
      <c r="H69" s="32" t="str">
        <f aca="false">IF(G69=0,"—",_xlfn.MINIFS(Cotações!$I$2:$I$2,Cotações!$D$2:$D$2,$A69))</f>
        <v>—</v>
      </c>
      <c r="I69" s="19" t="str">
        <f aca="false">IF(G69=0,"—",IFERROR(H69*F69,""))</f>
        <v>—</v>
      </c>
      <c r="J69" s="16" t="s">
        <v>316</v>
      </c>
    </row>
    <row r="70" customFormat="false" ht="15" hidden="false" customHeight="false" outlineLevel="0" collapsed="false">
      <c r="A70" s="21" t="s">
        <v>317</v>
      </c>
      <c r="B70" s="22" t="s">
        <v>306</v>
      </c>
      <c r="C70" s="22" t="s">
        <v>318</v>
      </c>
      <c r="D70" s="22" t="s">
        <v>319</v>
      </c>
      <c r="E70" s="21" t="s">
        <v>177</v>
      </c>
      <c r="F70" s="29" t="n">
        <v>26</v>
      </c>
      <c r="G70" s="21" t="n">
        <f aca="false">COUNTIFS(Cotações!$D$2:$D$2,$A70)</f>
        <v>0</v>
      </c>
      <c r="H70" s="30" t="str">
        <f aca="false">IF(G70=0,"—",_xlfn.MINIFS(Cotações!$I$2:$I$2,Cotações!$D$2:$D$2,$A70))</f>
        <v>—</v>
      </c>
      <c r="I70" s="24" t="str">
        <f aca="false">IF(G70=0,"—",IFERROR(H70*F70,""))</f>
        <v>—</v>
      </c>
      <c r="J70" s="21"/>
    </row>
    <row r="71" customFormat="false" ht="15" hidden="false" customHeight="false" outlineLevel="0" collapsed="false">
      <c r="A71" s="16" t="s">
        <v>320</v>
      </c>
      <c r="B71" s="17" t="s">
        <v>306</v>
      </c>
      <c r="C71" s="17" t="s">
        <v>321</v>
      </c>
      <c r="D71" s="17" t="s">
        <v>322</v>
      </c>
      <c r="E71" s="16" t="s">
        <v>177</v>
      </c>
      <c r="F71" s="31" t="n">
        <v>4</v>
      </c>
      <c r="G71" s="16" t="n">
        <f aca="false">COUNTIFS(Cotações!$D$2:$D$2,$A71)</f>
        <v>0</v>
      </c>
      <c r="H71" s="32" t="str">
        <f aca="false">IF(G71=0,"—",_xlfn.MINIFS(Cotações!$I$2:$I$2,Cotações!$D$2:$D$2,$A71))</f>
        <v>—</v>
      </c>
      <c r="I71" s="19" t="str">
        <f aca="false">IF(G71=0,"—",IFERROR(H71*F71,""))</f>
        <v>—</v>
      </c>
      <c r="J71" s="16" t="s">
        <v>323</v>
      </c>
    </row>
    <row r="72" customFormat="false" ht="15" hidden="false" customHeight="false" outlineLevel="0" collapsed="false">
      <c r="A72" s="21" t="s">
        <v>324</v>
      </c>
      <c r="B72" s="22" t="s">
        <v>306</v>
      </c>
      <c r="C72" s="22" t="s">
        <v>325</v>
      </c>
      <c r="D72" s="22" t="s">
        <v>326</v>
      </c>
      <c r="E72" s="21" t="s">
        <v>177</v>
      </c>
      <c r="F72" s="29" t="n">
        <v>4</v>
      </c>
      <c r="G72" s="21" t="n">
        <f aca="false">COUNTIFS(Cotações!$D$2:$D$2,$A72)</f>
        <v>0</v>
      </c>
      <c r="H72" s="30" t="str">
        <f aca="false">IF(G72=0,"—",_xlfn.MINIFS(Cotações!$I$2:$I$2,Cotações!$D$2:$D$2,$A72))</f>
        <v>—</v>
      </c>
      <c r="I72" s="24" t="str">
        <f aca="false">IF(G72=0,"—",IFERROR(H72*F72,""))</f>
        <v>—</v>
      </c>
      <c r="J72" s="21" t="s">
        <v>327</v>
      </c>
    </row>
    <row r="73" customFormat="false" ht="15" hidden="false" customHeight="false" outlineLevel="0" collapsed="false">
      <c r="A73" s="16" t="s">
        <v>328</v>
      </c>
      <c r="B73" s="17" t="s">
        <v>306</v>
      </c>
      <c r="C73" s="17" t="s">
        <v>329</v>
      </c>
      <c r="D73" s="17" t="s">
        <v>330</v>
      </c>
      <c r="E73" s="16" t="s">
        <v>105</v>
      </c>
      <c r="F73" s="31" t="n">
        <v>1</v>
      </c>
      <c r="G73" s="16" t="n">
        <f aca="false">COUNTIFS(Cotações!$D$2:$D$2,$A73)</f>
        <v>0</v>
      </c>
      <c r="H73" s="32" t="str">
        <f aca="false">IF(G73=0,"—",_xlfn.MINIFS(Cotações!$I$2:$I$2,Cotações!$D$2:$D$2,$A73))</f>
        <v>—</v>
      </c>
      <c r="I73" s="19" t="str">
        <f aca="false">IF(G73=0,"—",IFERROR(H73*F73,""))</f>
        <v>—</v>
      </c>
      <c r="J73" s="16" t="s">
        <v>331</v>
      </c>
    </row>
    <row r="74" customFormat="false" ht="15" hidden="false" customHeight="false" outlineLevel="0" collapsed="false">
      <c r="A74" s="21" t="s">
        <v>332</v>
      </c>
      <c r="B74" s="22" t="s">
        <v>306</v>
      </c>
      <c r="C74" s="22" t="s">
        <v>333</v>
      </c>
      <c r="D74" s="22" t="s">
        <v>334</v>
      </c>
      <c r="E74" s="21" t="s">
        <v>131</v>
      </c>
      <c r="F74" s="29" t="n">
        <v>260</v>
      </c>
      <c r="G74" s="21" t="n">
        <f aca="false">COUNTIFS(Cotações!$D$2:$D$2,$A74)</f>
        <v>0</v>
      </c>
      <c r="H74" s="30" t="str">
        <f aca="false">IF(G74=0,"—",_xlfn.MINIFS(Cotações!$I$2:$I$2,Cotações!$D$2:$D$2,$A74))</f>
        <v>—</v>
      </c>
      <c r="I74" s="24" t="str">
        <f aca="false">IF(G74=0,"—",IFERROR(H74*F74,""))</f>
        <v>—</v>
      </c>
      <c r="J74" s="21"/>
    </row>
    <row r="75" customFormat="false" ht="15" hidden="false" customHeight="false" outlineLevel="0" collapsed="false">
      <c r="A75" s="16" t="s">
        <v>335</v>
      </c>
      <c r="B75" s="17" t="s">
        <v>306</v>
      </c>
      <c r="C75" s="17" t="s">
        <v>336</v>
      </c>
      <c r="D75" s="17" t="s">
        <v>337</v>
      </c>
      <c r="E75" s="16" t="s">
        <v>131</v>
      </c>
      <c r="F75" s="31" t="n">
        <v>50</v>
      </c>
      <c r="G75" s="16" t="n">
        <f aca="false">COUNTIFS(Cotações!$D$2:$D$2,$A75)</f>
        <v>0</v>
      </c>
      <c r="H75" s="32" t="str">
        <f aca="false">IF(G75=0,"—",_xlfn.MINIFS(Cotações!$I$2:$I$2,Cotações!$D$2:$D$2,$A75))</f>
        <v>—</v>
      </c>
      <c r="I75" s="19" t="str">
        <f aca="false">IF(G75=0,"—",IFERROR(H75*F75,""))</f>
        <v>—</v>
      </c>
      <c r="J75" s="16"/>
    </row>
    <row r="76" customFormat="false" ht="15" hidden="false" customHeight="false" outlineLevel="0" collapsed="false">
      <c r="A76" s="21" t="s">
        <v>338</v>
      </c>
      <c r="B76" s="22" t="s">
        <v>306</v>
      </c>
      <c r="C76" s="22" t="s">
        <v>339</v>
      </c>
      <c r="D76" s="22"/>
      <c r="E76" s="21" t="s">
        <v>177</v>
      </c>
      <c r="F76" s="29" t="n">
        <v>75</v>
      </c>
      <c r="G76" s="21" t="n">
        <f aca="false">COUNTIFS(Cotações!$D$2:$D$2,$A76)</f>
        <v>0</v>
      </c>
      <c r="H76" s="30" t="str">
        <f aca="false">IF(G76=0,"—",_xlfn.MINIFS(Cotações!$I$2:$I$2,Cotações!$D$2:$D$2,$A76))</f>
        <v>—</v>
      </c>
      <c r="I76" s="24" t="str">
        <f aca="false">IF(G76=0,"—",IFERROR(H76*F76,""))</f>
        <v>—</v>
      </c>
      <c r="J76" s="21"/>
    </row>
    <row r="77" customFormat="false" ht="15" hidden="false" customHeight="false" outlineLevel="0" collapsed="false">
      <c r="A77" s="16" t="s">
        <v>340</v>
      </c>
      <c r="B77" s="17" t="s">
        <v>306</v>
      </c>
      <c r="C77" s="17" t="s">
        <v>341</v>
      </c>
      <c r="D77" s="17" t="s">
        <v>342</v>
      </c>
      <c r="E77" s="16" t="s">
        <v>177</v>
      </c>
      <c r="F77" s="31" t="n">
        <v>18</v>
      </c>
      <c r="G77" s="16" t="n">
        <f aca="false">COUNTIFS(Cotações!$D$2:$D$2,$A77)</f>
        <v>0</v>
      </c>
      <c r="H77" s="32" t="str">
        <f aca="false">IF(G77=0,"—",_xlfn.MINIFS(Cotações!$I$2:$I$2,Cotações!$D$2:$D$2,$A77))</f>
        <v>—</v>
      </c>
      <c r="I77" s="19" t="str">
        <f aca="false">IF(G77=0,"—",IFERROR(H77*F77,""))</f>
        <v>—</v>
      </c>
      <c r="J77" s="16" t="s">
        <v>343</v>
      </c>
    </row>
    <row r="78" customFormat="false" ht="15" hidden="false" customHeight="false" outlineLevel="0" collapsed="false">
      <c r="A78" s="21" t="s">
        <v>344</v>
      </c>
      <c r="B78" s="22" t="s">
        <v>306</v>
      </c>
      <c r="C78" s="22" t="s">
        <v>345</v>
      </c>
      <c r="D78" s="22" t="s">
        <v>346</v>
      </c>
      <c r="E78" s="21" t="s">
        <v>177</v>
      </c>
      <c r="F78" s="29" t="n">
        <v>26</v>
      </c>
      <c r="G78" s="21" t="n">
        <f aca="false">COUNTIFS(Cotações!$D$2:$D$2,$A78)</f>
        <v>0</v>
      </c>
      <c r="H78" s="30" t="str">
        <f aca="false">IF(G78=0,"—",_xlfn.MINIFS(Cotações!$I$2:$I$2,Cotações!$D$2:$D$2,$A78))</f>
        <v>—</v>
      </c>
      <c r="I78" s="24" t="str">
        <f aca="false">IF(G78=0,"—",IFERROR(H78*F78,""))</f>
        <v>—</v>
      </c>
      <c r="J78" s="21"/>
    </row>
    <row r="79" customFormat="false" ht="15" hidden="false" customHeight="false" outlineLevel="0" collapsed="false">
      <c r="A79" s="16" t="s">
        <v>347</v>
      </c>
      <c r="B79" s="17" t="s">
        <v>306</v>
      </c>
      <c r="C79" s="17" t="s">
        <v>348</v>
      </c>
      <c r="D79" s="17" t="s">
        <v>349</v>
      </c>
      <c r="E79" s="16" t="s">
        <v>177</v>
      </c>
      <c r="F79" s="31" t="n">
        <v>2</v>
      </c>
      <c r="G79" s="16" t="n">
        <f aca="false">COUNTIFS(Cotações!$D$2:$D$2,$A79)</f>
        <v>0</v>
      </c>
      <c r="H79" s="32" t="str">
        <f aca="false">IF(G79=0,"—",_xlfn.MINIFS(Cotações!$I$2:$I$2,Cotações!$D$2:$D$2,$A79))</f>
        <v>—</v>
      </c>
      <c r="I79" s="19" t="str">
        <f aca="false">IF(G79=0,"—",IFERROR(H79*F79,""))</f>
        <v>—</v>
      </c>
      <c r="J79" s="16"/>
    </row>
    <row r="80" customFormat="false" ht="15" hidden="false" customHeight="false" outlineLevel="0" collapsed="false">
      <c r="A80" s="21" t="s">
        <v>350</v>
      </c>
      <c r="B80" s="22" t="s">
        <v>306</v>
      </c>
      <c r="C80" s="22" t="s">
        <v>351</v>
      </c>
      <c r="D80" s="22" t="s">
        <v>352</v>
      </c>
      <c r="E80" s="21" t="s">
        <v>131</v>
      </c>
      <c r="F80" s="29" t="n">
        <v>280</v>
      </c>
      <c r="G80" s="21" t="n">
        <f aca="false">COUNTIFS(Cotações!$D$2:$D$2,$A80)</f>
        <v>0</v>
      </c>
      <c r="H80" s="30" t="str">
        <f aca="false">IF(G80=0,"—",_xlfn.MINIFS(Cotações!$I$2:$I$2,Cotações!$D$2:$D$2,$A80))</f>
        <v>—</v>
      </c>
      <c r="I80" s="24" t="str">
        <f aca="false">IF(G80=0,"—",IFERROR(H80*F80,""))</f>
        <v>—</v>
      </c>
      <c r="J80" s="21"/>
    </row>
    <row r="81" customFormat="false" ht="15" hidden="false" customHeight="false" outlineLevel="0" collapsed="false">
      <c r="A81" s="16" t="s">
        <v>353</v>
      </c>
      <c r="B81" s="17" t="s">
        <v>306</v>
      </c>
      <c r="C81" s="17" t="s">
        <v>354</v>
      </c>
      <c r="D81" s="17" t="s">
        <v>355</v>
      </c>
      <c r="E81" s="16" t="s">
        <v>131</v>
      </c>
      <c r="F81" s="31" t="n">
        <v>420</v>
      </c>
      <c r="G81" s="16" t="n">
        <f aca="false">COUNTIFS(Cotações!$D$2:$D$2,$A81)</f>
        <v>0</v>
      </c>
      <c r="H81" s="32" t="str">
        <f aca="false">IF(G81=0,"—",_xlfn.MINIFS(Cotações!$I$2:$I$2,Cotações!$D$2:$D$2,$A81))</f>
        <v>—</v>
      </c>
      <c r="I81" s="19" t="str">
        <f aca="false">IF(G81=0,"—",IFERROR(H81*F81,""))</f>
        <v>—</v>
      </c>
      <c r="J81" s="16"/>
    </row>
    <row r="82" customFormat="false" ht="15" hidden="false" customHeight="false" outlineLevel="0" collapsed="false">
      <c r="A82" s="21" t="s">
        <v>356</v>
      </c>
      <c r="B82" s="22" t="s">
        <v>306</v>
      </c>
      <c r="C82" s="22" t="s">
        <v>357</v>
      </c>
      <c r="D82" s="22" t="s">
        <v>358</v>
      </c>
      <c r="E82" s="21" t="s">
        <v>131</v>
      </c>
      <c r="F82" s="29" t="n">
        <v>140</v>
      </c>
      <c r="G82" s="21" t="n">
        <f aca="false">COUNTIFS(Cotações!$D$2:$D$2,$A82)</f>
        <v>0</v>
      </c>
      <c r="H82" s="30" t="str">
        <f aca="false">IF(G82=0,"—",_xlfn.MINIFS(Cotações!$I$2:$I$2,Cotações!$D$2:$D$2,$A82))</f>
        <v>—</v>
      </c>
      <c r="I82" s="24" t="str">
        <f aca="false">IF(G82=0,"—",IFERROR(H82*F82,""))</f>
        <v>—</v>
      </c>
      <c r="J82" s="21"/>
    </row>
    <row r="83" customFormat="false" ht="15" hidden="false" customHeight="false" outlineLevel="0" collapsed="false">
      <c r="A83" s="16" t="s">
        <v>359</v>
      </c>
      <c r="B83" s="17" t="s">
        <v>306</v>
      </c>
      <c r="C83" s="17" t="s">
        <v>360</v>
      </c>
      <c r="D83" s="17" t="s">
        <v>361</v>
      </c>
      <c r="E83" s="16" t="s">
        <v>131</v>
      </c>
      <c r="F83" s="31" t="n">
        <v>60</v>
      </c>
      <c r="G83" s="16" t="n">
        <f aca="false">COUNTIFS(Cotações!$D$2:$D$2,$A83)</f>
        <v>0</v>
      </c>
      <c r="H83" s="32" t="str">
        <f aca="false">IF(G83=0,"—",_xlfn.MINIFS(Cotações!$I$2:$I$2,Cotações!$D$2:$D$2,$A83))</f>
        <v>—</v>
      </c>
      <c r="I83" s="19" t="str">
        <f aca="false">IF(G83=0,"—",IFERROR(H83*F83,""))</f>
        <v>—</v>
      </c>
      <c r="J83" s="16" t="s">
        <v>362</v>
      </c>
    </row>
    <row r="84" customFormat="false" ht="15" hidden="false" customHeight="false" outlineLevel="0" collapsed="false">
      <c r="A84" s="21" t="s">
        <v>363</v>
      </c>
      <c r="B84" s="22" t="s">
        <v>306</v>
      </c>
      <c r="C84" s="22" t="s">
        <v>364</v>
      </c>
      <c r="D84" s="22" t="s">
        <v>365</v>
      </c>
      <c r="E84" s="21" t="s">
        <v>131</v>
      </c>
      <c r="F84" s="29" t="n">
        <v>30</v>
      </c>
      <c r="G84" s="21" t="n">
        <f aca="false">COUNTIFS(Cotações!$D$2:$D$2,$A84)</f>
        <v>0</v>
      </c>
      <c r="H84" s="30" t="str">
        <f aca="false">IF(G84=0,"—",_xlfn.MINIFS(Cotações!$I$2:$I$2,Cotações!$D$2:$D$2,$A84))</f>
        <v>—</v>
      </c>
      <c r="I84" s="24" t="str">
        <f aca="false">IF(G84=0,"—",IFERROR(H84*F84,""))</f>
        <v>—</v>
      </c>
      <c r="J84" s="21"/>
    </row>
    <row r="85" customFormat="false" ht="15" hidden="false" customHeight="false" outlineLevel="0" collapsed="false">
      <c r="A85" s="16" t="s">
        <v>366</v>
      </c>
      <c r="B85" s="17" t="s">
        <v>306</v>
      </c>
      <c r="C85" s="17" t="s">
        <v>367</v>
      </c>
      <c r="D85" s="17" t="s">
        <v>368</v>
      </c>
      <c r="E85" s="16" t="s">
        <v>177</v>
      </c>
      <c r="F85" s="31" t="n">
        <v>42</v>
      </c>
      <c r="G85" s="16" t="n">
        <f aca="false">COUNTIFS(Cotações!$D$2:$D$2,$A85)</f>
        <v>0</v>
      </c>
      <c r="H85" s="32" t="str">
        <f aca="false">IF(G85=0,"—",_xlfn.MINIFS(Cotações!$I$2:$I$2,Cotações!$D$2:$D$2,$A85))</f>
        <v>—</v>
      </c>
      <c r="I85" s="19" t="str">
        <f aca="false">IF(G85=0,"—",IFERROR(H85*F85,""))</f>
        <v>—</v>
      </c>
      <c r="J85" s="16"/>
    </row>
    <row r="86" customFormat="false" ht="15" hidden="false" customHeight="false" outlineLevel="0" collapsed="false">
      <c r="A86" s="21" t="s">
        <v>369</v>
      </c>
      <c r="B86" s="22" t="s">
        <v>306</v>
      </c>
      <c r="C86" s="22" t="s">
        <v>370</v>
      </c>
      <c r="D86" s="22" t="s">
        <v>371</v>
      </c>
      <c r="E86" s="21" t="s">
        <v>177</v>
      </c>
      <c r="F86" s="29" t="n">
        <v>16</v>
      </c>
      <c r="G86" s="21" t="n">
        <f aca="false">COUNTIFS(Cotações!$D$2:$D$2,$A86)</f>
        <v>0</v>
      </c>
      <c r="H86" s="30" t="str">
        <f aca="false">IF(G86=0,"—",_xlfn.MINIFS(Cotações!$I$2:$I$2,Cotações!$D$2:$D$2,$A86))</f>
        <v>—</v>
      </c>
      <c r="I86" s="24" t="str">
        <f aca="false">IF(G86=0,"—",IFERROR(H86*F86,""))</f>
        <v>—</v>
      </c>
      <c r="J86" s="21" t="s">
        <v>372</v>
      </c>
    </row>
    <row r="87" customFormat="false" ht="15" hidden="false" customHeight="false" outlineLevel="0" collapsed="false">
      <c r="A87" s="16" t="s">
        <v>373</v>
      </c>
      <c r="B87" s="17" t="s">
        <v>306</v>
      </c>
      <c r="C87" s="17" t="s">
        <v>374</v>
      </c>
      <c r="D87" s="17"/>
      <c r="E87" s="16" t="s">
        <v>177</v>
      </c>
      <c r="F87" s="31" t="n">
        <v>26</v>
      </c>
      <c r="G87" s="16" t="n">
        <f aca="false">COUNTIFS(Cotações!$D$2:$D$2,$A87)</f>
        <v>0</v>
      </c>
      <c r="H87" s="32" t="str">
        <f aca="false">IF(G87=0,"—",_xlfn.MINIFS(Cotações!$I$2:$I$2,Cotações!$D$2:$D$2,$A87))</f>
        <v>—</v>
      </c>
      <c r="I87" s="19" t="str">
        <f aca="false">IF(G87=0,"—",IFERROR(H87*F87,""))</f>
        <v>—</v>
      </c>
      <c r="J87" s="16" t="s">
        <v>375</v>
      </c>
    </row>
    <row r="88" customFormat="false" ht="15" hidden="false" customHeight="false" outlineLevel="0" collapsed="false">
      <c r="A88" s="21" t="s">
        <v>376</v>
      </c>
      <c r="B88" s="22" t="s">
        <v>306</v>
      </c>
      <c r="C88" s="22" t="s">
        <v>377</v>
      </c>
      <c r="D88" s="22" t="s">
        <v>378</v>
      </c>
      <c r="E88" s="21" t="s">
        <v>131</v>
      </c>
      <c r="F88" s="29" t="n">
        <v>22</v>
      </c>
      <c r="G88" s="21" t="n">
        <f aca="false">COUNTIFS(Cotações!$D$2:$D$2,$A88)</f>
        <v>0</v>
      </c>
      <c r="H88" s="30" t="str">
        <f aca="false">IF(G88=0,"—",_xlfn.MINIFS(Cotações!$I$2:$I$2,Cotações!$D$2:$D$2,$A88))</f>
        <v>—</v>
      </c>
      <c r="I88" s="24" t="str">
        <f aca="false">IF(G88=0,"—",IFERROR(H88*F88,""))</f>
        <v>—</v>
      </c>
      <c r="J88" s="21"/>
    </row>
    <row r="89" customFormat="false" ht="15" hidden="false" customHeight="false" outlineLevel="0" collapsed="false">
      <c r="A89" s="16" t="s">
        <v>379</v>
      </c>
      <c r="B89" s="17" t="s">
        <v>306</v>
      </c>
      <c r="C89" s="17" t="s">
        <v>380</v>
      </c>
      <c r="D89" s="17" t="s">
        <v>381</v>
      </c>
      <c r="E89" s="16" t="s">
        <v>177</v>
      </c>
      <c r="F89" s="31" t="n">
        <v>18</v>
      </c>
      <c r="G89" s="16" t="n">
        <f aca="false">COUNTIFS(Cotações!$D$2:$D$2,$A89)</f>
        <v>0</v>
      </c>
      <c r="H89" s="32" t="str">
        <f aca="false">IF(G89=0,"—",_xlfn.MINIFS(Cotações!$I$2:$I$2,Cotações!$D$2:$D$2,$A89))</f>
        <v>—</v>
      </c>
      <c r="I89" s="19" t="str">
        <f aca="false">IF(G89=0,"—",IFERROR(H89*F89,""))</f>
        <v>—</v>
      </c>
      <c r="J89" s="16"/>
    </row>
    <row r="90" customFormat="false" ht="15" hidden="false" customHeight="false" outlineLevel="0" collapsed="false">
      <c r="A90" s="21" t="s">
        <v>382</v>
      </c>
      <c r="B90" s="22" t="s">
        <v>306</v>
      </c>
      <c r="C90" s="22" t="s">
        <v>383</v>
      </c>
      <c r="D90" s="22" t="s">
        <v>384</v>
      </c>
      <c r="E90" s="21" t="s">
        <v>177</v>
      </c>
      <c r="F90" s="29" t="n">
        <v>5</v>
      </c>
      <c r="G90" s="21" t="n">
        <f aca="false">COUNTIFS(Cotações!$D$2:$D$2,$A90)</f>
        <v>0</v>
      </c>
      <c r="H90" s="30" t="str">
        <f aca="false">IF(G90=0,"—",_xlfn.MINIFS(Cotações!$I$2:$I$2,Cotações!$D$2:$D$2,$A90))</f>
        <v>—</v>
      </c>
      <c r="I90" s="24" t="str">
        <f aca="false">IF(G90=0,"—",IFERROR(H90*F90,""))</f>
        <v>—</v>
      </c>
      <c r="J90" s="21" t="s">
        <v>385</v>
      </c>
    </row>
    <row r="91" customFormat="false" ht="15" hidden="false" customHeight="false" outlineLevel="0" collapsed="false">
      <c r="A91" s="16" t="s">
        <v>386</v>
      </c>
      <c r="B91" s="17" t="s">
        <v>306</v>
      </c>
      <c r="C91" s="17" t="s">
        <v>387</v>
      </c>
      <c r="D91" s="17" t="s">
        <v>388</v>
      </c>
      <c r="E91" s="16" t="s">
        <v>177</v>
      </c>
      <c r="F91" s="31" t="n">
        <v>5</v>
      </c>
      <c r="G91" s="16" t="n">
        <f aca="false">COUNTIFS(Cotações!$D$2:$D$2,$A91)</f>
        <v>0</v>
      </c>
      <c r="H91" s="32" t="str">
        <f aca="false">IF(G91=0,"—",_xlfn.MINIFS(Cotações!$I$2:$I$2,Cotações!$D$2:$D$2,$A91))</f>
        <v>—</v>
      </c>
      <c r="I91" s="19" t="str">
        <f aca="false">IF(G91=0,"—",IFERROR(H91*F91,""))</f>
        <v>—</v>
      </c>
      <c r="J91" s="16" t="s">
        <v>389</v>
      </c>
    </row>
    <row r="92" customFormat="false" ht="15" hidden="false" customHeight="false" outlineLevel="0" collapsed="false">
      <c r="A92" s="21" t="s">
        <v>390</v>
      </c>
      <c r="B92" s="22" t="s">
        <v>306</v>
      </c>
      <c r="C92" s="22" t="s">
        <v>391</v>
      </c>
      <c r="D92" s="22" t="s">
        <v>392</v>
      </c>
      <c r="E92" s="21" t="s">
        <v>131</v>
      </c>
      <c r="F92" s="29" t="n">
        <v>300</v>
      </c>
      <c r="G92" s="21" t="n">
        <f aca="false">COUNTIFS(Cotações!$D$2:$D$2,$A92)</f>
        <v>0</v>
      </c>
      <c r="H92" s="30" t="str">
        <f aca="false">IF(G92=0,"—",_xlfn.MINIFS(Cotações!$I$2:$I$2,Cotações!$D$2:$D$2,$A92))</f>
        <v>—</v>
      </c>
      <c r="I92" s="24" t="str">
        <f aca="false">IF(G92=0,"—",IFERROR(H92*F92,""))</f>
        <v>—</v>
      </c>
      <c r="J92" s="21"/>
    </row>
    <row r="93" customFormat="false" ht="15" hidden="false" customHeight="false" outlineLevel="0" collapsed="false">
      <c r="A93" s="16" t="s">
        <v>393</v>
      </c>
      <c r="B93" s="17" t="s">
        <v>306</v>
      </c>
      <c r="C93" s="17" t="s">
        <v>394</v>
      </c>
      <c r="D93" s="17" t="s">
        <v>395</v>
      </c>
      <c r="E93" s="16" t="s">
        <v>177</v>
      </c>
      <c r="F93" s="31" t="n">
        <v>10</v>
      </c>
      <c r="G93" s="16" t="n">
        <f aca="false">COUNTIFS(Cotações!$D$2:$D$2,$A93)</f>
        <v>0</v>
      </c>
      <c r="H93" s="32" t="str">
        <f aca="false">IF(G93=0,"—",_xlfn.MINIFS(Cotações!$I$2:$I$2,Cotações!$D$2:$D$2,$A93))</f>
        <v>—</v>
      </c>
      <c r="I93" s="19" t="str">
        <f aca="false">IF(G93=0,"—",IFERROR(H93*F93,""))</f>
        <v>—</v>
      </c>
      <c r="J93" s="16"/>
    </row>
    <row r="94" customFormat="false" ht="15" hidden="false" customHeight="false" outlineLevel="0" collapsed="false">
      <c r="A94" s="21" t="s">
        <v>396</v>
      </c>
      <c r="B94" s="22" t="s">
        <v>306</v>
      </c>
      <c r="C94" s="22" t="s">
        <v>397</v>
      </c>
      <c r="D94" s="22" t="s">
        <v>241</v>
      </c>
      <c r="E94" s="21" t="s">
        <v>177</v>
      </c>
      <c r="F94" s="29" t="n">
        <v>1</v>
      </c>
      <c r="G94" s="21" t="n">
        <f aca="false">COUNTIFS(Cotações!$D$2:$D$2,$A94)</f>
        <v>0</v>
      </c>
      <c r="H94" s="30" t="str">
        <f aca="false">IF(G94=0,"—",_xlfn.MINIFS(Cotações!$I$2:$I$2,Cotações!$D$2:$D$2,$A94))</f>
        <v>—</v>
      </c>
      <c r="I94" s="24" t="str">
        <f aca="false">IF(G94=0,"—",IFERROR(H94*F94,""))</f>
        <v>—</v>
      </c>
      <c r="J94" s="21"/>
    </row>
    <row r="95" customFormat="false" ht="15" hidden="false" customHeight="false" outlineLevel="0" collapsed="false">
      <c r="A95" s="16" t="s">
        <v>398</v>
      </c>
      <c r="B95" s="17" t="s">
        <v>306</v>
      </c>
      <c r="C95" s="17" t="s">
        <v>399</v>
      </c>
      <c r="D95" s="17"/>
      <c r="E95" s="16" t="s">
        <v>177</v>
      </c>
      <c r="F95" s="31" t="n">
        <v>1</v>
      </c>
      <c r="G95" s="16" t="n">
        <f aca="false">COUNTIFS(Cotações!$D$2:$D$2,$A95)</f>
        <v>0</v>
      </c>
      <c r="H95" s="32" t="str">
        <f aca="false">IF(G95=0,"—",_xlfn.MINIFS(Cotações!$I$2:$I$2,Cotações!$D$2:$D$2,$A95))</f>
        <v>—</v>
      </c>
      <c r="I95" s="19" t="str">
        <f aca="false">IF(G95=0,"—",IFERROR(H95*F95,""))</f>
        <v>—</v>
      </c>
      <c r="J95" s="16" t="s">
        <v>400</v>
      </c>
    </row>
    <row r="96" customFormat="false" ht="15" hidden="false" customHeight="false" outlineLevel="0" collapsed="false">
      <c r="A96" s="21" t="s">
        <v>401</v>
      </c>
      <c r="B96" s="22" t="s">
        <v>306</v>
      </c>
      <c r="C96" s="22" t="s">
        <v>402</v>
      </c>
      <c r="D96" s="22" t="s">
        <v>403</v>
      </c>
      <c r="E96" s="21" t="s">
        <v>177</v>
      </c>
      <c r="F96" s="29" t="n">
        <v>2</v>
      </c>
      <c r="G96" s="21" t="n">
        <f aca="false">COUNTIFS(Cotações!$D$2:$D$2,$A96)</f>
        <v>0</v>
      </c>
      <c r="H96" s="30" t="str">
        <f aca="false">IF(G96=0,"—",_xlfn.MINIFS(Cotações!$I$2:$I$2,Cotações!$D$2:$D$2,$A96))</f>
        <v>—</v>
      </c>
      <c r="I96" s="24" t="str">
        <f aca="false">IF(G96=0,"—",IFERROR(H96*F96,""))</f>
        <v>—</v>
      </c>
      <c r="J96" s="21" t="s">
        <v>404</v>
      </c>
    </row>
    <row r="97" customFormat="false" ht="15" hidden="false" customHeight="false" outlineLevel="0" collapsed="false">
      <c r="A97" s="16" t="s">
        <v>405</v>
      </c>
      <c r="B97" s="17" t="s">
        <v>306</v>
      </c>
      <c r="C97" s="17" t="s">
        <v>406</v>
      </c>
      <c r="D97" s="17" t="s">
        <v>407</v>
      </c>
      <c r="E97" s="16" t="s">
        <v>177</v>
      </c>
      <c r="F97" s="31" t="n">
        <v>4</v>
      </c>
      <c r="G97" s="16" t="n">
        <f aca="false">COUNTIFS(Cotações!$D$2:$D$2,$A97)</f>
        <v>0</v>
      </c>
      <c r="H97" s="32" t="str">
        <f aca="false">IF(G97=0,"—",_xlfn.MINIFS(Cotações!$I$2:$I$2,Cotações!$D$2:$D$2,$A97))</f>
        <v>—</v>
      </c>
      <c r="I97" s="19" t="str">
        <f aca="false">IF(G97=0,"—",IFERROR(H97*F97,""))</f>
        <v>—</v>
      </c>
      <c r="J97" s="16"/>
    </row>
    <row r="98" customFormat="false" ht="15" hidden="false" customHeight="false" outlineLevel="0" collapsed="false">
      <c r="A98" s="21" t="s">
        <v>408</v>
      </c>
      <c r="B98" s="22" t="s">
        <v>306</v>
      </c>
      <c r="C98" s="22" t="s">
        <v>409</v>
      </c>
      <c r="D98" s="22" t="s">
        <v>410</v>
      </c>
      <c r="E98" s="21" t="s">
        <v>177</v>
      </c>
      <c r="F98" s="29" t="n">
        <v>1</v>
      </c>
      <c r="G98" s="21" t="n">
        <f aca="false">COUNTIFS(Cotações!$D$2:$D$2,$A98)</f>
        <v>0</v>
      </c>
      <c r="H98" s="30" t="str">
        <f aca="false">IF(G98=0,"—",_xlfn.MINIFS(Cotações!$I$2:$I$2,Cotações!$D$2:$D$2,$A98))</f>
        <v>—</v>
      </c>
      <c r="I98" s="24" t="str">
        <f aca="false">IF(G98=0,"—",IFERROR(H98*F98,""))</f>
        <v>—</v>
      </c>
      <c r="J98" s="21"/>
    </row>
    <row r="99" customFormat="false" ht="15" hidden="false" customHeight="false" outlineLevel="0" collapsed="false">
      <c r="A99" s="16" t="s">
        <v>411</v>
      </c>
      <c r="B99" s="17" t="s">
        <v>306</v>
      </c>
      <c r="C99" s="17" t="s">
        <v>412</v>
      </c>
      <c r="D99" s="17" t="s">
        <v>413</v>
      </c>
      <c r="E99" s="16" t="s">
        <v>177</v>
      </c>
      <c r="F99" s="31" t="n">
        <v>1</v>
      </c>
      <c r="G99" s="16" t="n">
        <f aca="false">COUNTIFS(Cotações!$D$2:$D$2,$A99)</f>
        <v>0</v>
      </c>
      <c r="H99" s="32" t="str">
        <f aca="false">IF(G99=0,"—",_xlfn.MINIFS(Cotações!$I$2:$I$2,Cotações!$D$2:$D$2,$A99))</f>
        <v>—</v>
      </c>
      <c r="I99" s="19" t="str">
        <f aca="false">IF(G99=0,"—",IFERROR(H99*F99,""))</f>
        <v>—</v>
      </c>
      <c r="J99" s="16"/>
    </row>
    <row r="100" customFormat="false" ht="15" hidden="false" customHeight="false" outlineLevel="0" collapsed="false">
      <c r="A100" s="21" t="s">
        <v>414</v>
      </c>
      <c r="B100" s="22" t="s">
        <v>306</v>
      </c>
      <c r="C100" s="22" t="s">
        <v>415</v>
      </c>
      <c r="D100" s="22" t="s">
        <v>416</v>
      </c>
      <c r="E100" s="21" t="s">
        <v>177</v>
      </c>
      <c r="F100" s="29" t="n">
        <v>1</v>
      </c>
      <c r="G100" s="21" t="n">
        <f aca="false">COUNTIFS(Cotações!$D$2:$D$2,$A100)</f>
        <v>0</v>
      </c>
      <c r="H100" s="30" t="str">
        <f aca="false">IF(G100=0,"—",_xlfn.MINIFS(Cotações!$I$2:$I$2,Cotações!$D$2:$D$2,$A100))</f>
        <v>—</v>
      </c>
      <c r="I100" s="24" t="str">
        <f aca="false">IF(G100=0,"—",IFERROR(H100*F100,""))</f>
        <v>—</v>
      </c>
      <c r="J100" s="21" t="s">
        <v>417</v>
      </c>
    </row>
    <row r="101" customFormat="false" ht="15" hidden="false" customHeight="false" outlineLevel="0" collapsed="false">
      <c r="A101" s="16" t="s">
        <v>418</v>
      </c>
      <c r="B101" s="17" t="s">
        <v>306</v>
      </c>
      <c r="C101" s="17" t="s">
        <v>419</v>
      </c>
      <c r="D101" s="17" t="s">
        <v>420</v>
      </c>
      <c r="E101" s="16" t="s">
        <v>177</v>
      </c>
      <c r="F101" s="31" t="n">
        <v>18</v>
      </c>
      <c r="G101" s="16" t="n">
        <f aca="false">COUNTIFS(Cotações!$D$2:$D$2,$A101)</f>
        <v>0</v>
      </c>
      <c r="H101" s="32" t="str">
        <f aca="false">IF(G101=0,"—",_xlfn.MINIFS(Cotações!$I$2:$I$2,Cotações!$D$2:$D$2,$A101))</f>
        <v>—</v>
      </c>
      <c r="I101" s="19" t="str">
        <f aca="false">IF(G101=0,"—",IFERROR(H101*F101,""))</f>
        <v>—</v>
      </c>
      <c r="J101" s="16"/>
    </row>
    <row r="102" customFormat="false" ht="15" hidden="false" customHeight="false" outlineLevel="0" collapsed="false">
      <c r="A102" s="21" t="s">
        <v>421</v>
      </c>
      <c r="B102" s="22" t="s">
        <v>306</v>
      </c>
      <c r="C102" s="22" t="s">
        <v>422</v>
      </c>
      <c r="D102" s="22" t="s">
        <v>423</v>
      </c>
      <c r="E102" s="21" t="s">
        <v>177</v>
      </c>
      <c r="F102" s="29" t="n">
        <v>8</v>
      </c>
      <c r="G102" s="21" t="n">
        <f aca="false">COUNTIFS(Cotações!$D$2:$D$2,$A102)</f>
        <v>0</v>
      </c>
      <c r="H102" s="30" t="str">
        <f aca="false">IF(G102=0,"—",_xlfn.MINIFS(Cotações!$I$2:$I$2,Cotações!$D$2:$D$2,$A102))</f>
        <v>—</v>
      </c>
      <c r="I102" s="24" t="str">
        <f aca="false">IF(G102=0,"—",IFERROR(H102*F102,""))</f>
        <v>—</v>
      </c>
      <c r="J102" s="21"/>
    </row>
    <row r="103" customFormat="false" ht="15" hidden="false" customHeight="false" outlineLevel="0" collapsed="false">
      <c r="A103" s="16" t="s">
        <v>424</v>
      </c>
      <c r="B103" s="17" t="s">
        <v>306</v>
      </c>
      <c r="C103" s="17" t="s">
        <v>425</v>
      </c>
      <c r="D103" s="17" t="s">
        <v>426</v>
      </c>
      <c r="E103" s="16" t="s">
        <v>177</v>
      </c>
      <c r="F103" s="31" t="n">
        <v>8</v>
      </c>
      <c r="G103" s="16" t="n">
        <f aca="false">COUNTIFS(Cotações!$D$2:$D$2,$A103)</f>
        <v>0</v>
      </c>
      <c r="H103" s="32" t="str">
        <f aca="false">IF(G103=0,"—",_xlfn.MINIFS(Cotações!$I$2:$I$2,Cotações!$D$2:$D$2,$A103))</f>
        <v>—</v>
      </c>
      <c r="I103" s="19" t="str">
        <f aca="false">IF(G103=0,"—",IFERROR(H103*F103,""))</f>
        <v>—</v>
      </c>
      <c r="J103" s="16" t="s">
        <v>427</v>
      </c>
    </row>
    <row r="104" customFormat="false" ht="15" hidden="false" customHeight="false" outlineLevel="0" collapsed="false">
      <c r="A104" s="21" t="s">
        <v>428</v>
      </c>
      <c r="B104" s="22" t="s">
        <v>306</v>
      </c>
      <c r="C104" s="22" t="s">
        <v>429</v>
      </c>
      <c r="D104" s="22" t="s">
        <v>430</v>
      </c>
      <c r="E104" s="21" t="s">
        <v>177</v>
      </c>
      <c r="F104" s="29" t="n">
        <v>5</v>
      </c>
      <c r="G104" s="21" t="n">
        <f aca="false">COUNTIFS(Cotações!$D$2:$D$2,$A104)</f>
        <v>0</v>
      </c>
      <c r="H104" s="30" t="str">
        <f aca="false">IF(G104=0,"—",_xlfn.MINIFS(Cotações!$I$2:$I$2,Cotações!$D$2:$D$2,$A104))</f>
        <v>—</v>
      </c>
      <c r="I104" s="24" t="str">
        <f aca="false">IF(G104=0,"—",IFERROR(H104*F104,""))</f>
        <v>—</v>
      </c>
      <c r="J104" s="21"/>
    </row>
    <row r="105" customFormat="false" ht="22.35" hidden="false" customHeight="false" outlineLevel="0" collapsed="false">
      <c r="A105" s="16" t="s">
        <v>431</v>
      </c>
      <c r="B105" s="17" t="s">
        <v>306</v>
      </c>
      <c r="C105" s="17" t="s">
        <v>432</v>
      </c>
      <c r="D105" s="17" t="s">
        <v>433</v>
      </c>
      <c r="E105" s="16" t="s">
        <v>105</v>
      </c>
      <c r="F105" s="31" t="n">
        <v>1</v>
      </c>
      <c r="G105" s="16" t="n">
        <f aca="false">COUNTIFS(Cotações!$D$2:$D$2,$A105)</f>
        <v>0</v>
      </c>
      <c r="H105" s="32" t="str">
        <f aca="false">IF(G105=0,"—",_xlfn.MINIFS(Cotações!$I$2:$I$2,Cotações!$D$2:$D$2,$A105))</f>
        <v>—</v>
      </c>
      <c r="I105" s="19" t="str">
        <f aca="false">IF(G105=0,"—",IFERROR(H105*F105,""))</f>
        <v>—</v>
      </c>
      <c r="J105" s="16" t="s">
        <v>434</v>
      </c>
    </row>
    <row r="106" customFormat="false" ht="15" hidden="false" customHeight="false" outlineLevel="0" collapsed="false">
      <c r="A106" s="21" t="s">
        <v>435</v>
      </c>
      <c r="B106" s="22" t="s">
        <v>306</v>
      </c>
      <c r="C106" s="22" t="s">
        <v>436</v>
      </c>
      <c r="D106" s="22" t="s">
        <v>437</v>
      </c>
      <c r="E106" s="21" t="s">
        <v>177</v>
      </c>
      <c r="F106" s="29" t="n">
        <v>1</v>
      </c>
      <c r="G106" s="21" t="n">
        <f aca="false">COUNTIFS(Cotações!$D$2:$D$2,$A106)</f>
        <v>0</v>
      </c>
      <c r="H106" s="30" t="str">
        <f aca="false">IF(G106=0,"—",_xlfn.MINIFS(Cotações!$I$2:$I$2,Cotações!$D$2:$D$2,$A106))</f>
        <v>—</v>
      </c>
      <c r="I106" s="24" t="str">
        <f aca="false">IF(G106=0,"—",IFERROR(H106*F106,""))</f>
        <v>—</v>
      </c>
      <c r="J106" s="21"/>
    </row>
    <row r="107" customFormat="false" ht="15" hidden="false" customHeight="false" outlineLevel="0" collapsed="false">
      <c r="A107" s="16" t="s">
        <v>438</v>
      </c>
      <c r="B107" s="17" t="s">
        <v>306</v>
      </c>
      <c r="C107" s="17" t="s">
        <v>439</v>
      </c>
      <c r="D107" s="17" t="s">
        <v>440</v>
      </c>
      <c r="E107" s="16" t="s">
        <v>131</v>
      </c>
      <c r="F107" s="31" t="n">
        <v>14</v>
      </c>
      <c r="G107" s="16" t="n">
        <f aca="false">COUNTIFS(Cotações!$D$2:$D$2,$A107)</f>
        <v>0</v>
      </c>
      <c r="H107" s="32" t="str">
        <f aca="false">IF(G107=0,"—",_xlfn.MINIFS(Cotações!$I$2:$I$2,Cotações!$D$2:$D$2,$A107))</f>
        <v>—</v>
      </c>
      <c r="I107" s="19" t="str">
        <f aca="false">IF(G107=0,"—",IFERROR(H107*F107,""))</f>
        <v>—</v>
      </c>
      <c r="J107" s="16" t="s">
        <v>441</v>
      </c>
    </row>
    <row r="108" customFormat="false" ht="15" hidden="false" customHeight="false" outlineLevel="0" collapsed="false">
      <c r="A108" s="21" t="s">
        <v>442</v>
      </c>
      <c r="B108" s="22" t="s">
        <v>306</v>
      </c>
      <c r="C108" s="22" t="s">
        <v>443</v>
      </c>
      <c r="D108" s="22" t="s">
        <v>444</v>
      </c>
      <c r="E108" s="21" t="s">
        <v>131</v>
      </c>
      <c r="F108" s="29" t="n">
        <v>6</v>
      </c>
      <c r="G108" s="21" t="n">
        <f aca="false">COUNTIFS(Cotações!$D$2:$D$2,$A108)</f>
        <v>0</v>
      </c>
      <c r="H108" s="30" t="str">
        <f aca="false">IF(G108=0,"—",_xlfn.MINIFS(Cotações!$I$2:$I$2,Cotações!$D$2:$D$2,$A108))</f>
        <v>—</v>
      </c>
      <c r="I108" s="24" t="str">
        <f aca="false">IF(G108=0,"—",IFERROR(H108*F108,""))</f>
        <v>—</v>
      </c>
      <c r="J108" s="21" t="s">
        <v>445</v>
      </c>
    </row>
    <row r="109" customFormat="false" ht="15" hidden="false" customHeight="false" outlineLevel="0" collapsed="false">
      <c r="A109" s="16" t="s">
        <v>446</v>
      </c>
      <c r="B109" s="17" t="s">
        <v>306</v>
      </c>
      <c r="C109" s="17" t="s">
        <v>447</v>
      </c>
      <c r="D109" s="17"/>
      <c r="E109" s="16" t="s">
        <v>177</v>
      </c>
      <c r="F109" s="31" t="n">
        <v>1</v>
      </c>
      <c r="G109" s="16" t="n">
        <f aca="false">COUNTIFS(Cotações!$D$2:$D$2,$A109)</f>
        <v>0</v>
      </c>
      <c r="H109" s="32" t="str">
        <f aca="false">IF(G109=0,"—",_xlfn.MINIFS(Cotações!$I$2:$I$2,Cotações!$D$2:$D$2,$A109))</f>
        <v>—</v>
      </c>
      <c r="I109" s="19" t="str">
        <f aca="false">IF(G109=0,"—",IFERROR(H109*F109,""))</f>
        <v>—</v>
      </c>
      <c r="J109" s="16"/>
    </row>
    <row r="110" customFormat="false" ht="22.35" hidden="false" customHeight="false" outlineLevel="0" collapsed="false">
      <c r="A110" s="21" t="s">
        <v>448</v>
      </c>
      <c r="B110" s="22" t="s">
        <v>306</v>
      </c>
      <c r="C110" s="22" t="s">
        <v>449</v>
      </c>
      <c r="D110" s="22" t="s">
        <v>389</v>
      </c>
      <c r="E110" s="21" t="s">
        <v>105</v>
      </c>
      <c r="F110" s="29" t="n">
        <v>1</v>
      </c>
      <c r="G110" s="21" t="n">
        <f aca="false">COUNTIFS(Cotações!$D$2:$D$2,$A110)</f>
        <v>0</v>
      </c>
      <c r="H110" s="30" t="str">
        <f aca="false">IF(G110=0,"—",_xlfn.MINIFS(Cotações!$I$2:$I$2,Cotações!$D$2:$D$2,$A110))</f>
        <v>—</v>
      </c>
      <c r="I110" s="24" t="str">
        <f aca="false">IF(G110=0,"—",IFERROR(H110*F110,""))</f>
        <v>—</v>
      </c>
      <c r="J110" s="21" t="s">
        <v>450</v>
      </c>
    </row>
    <row r="111" customFormat="false" ht="15" hidden="false" customHeight="false" outlineLevel="0" collapsed="false">
      <c r="A111" s="16" t="s">
        <v>451</v>
      </c>
      <c r="B111" s="17" t="s">
        <v>75</v>
      </c>
      <c r="C111" s="17" t="s">
        <v>452</v>
      </c>
      <c r="D111" s="17" t="s">
        <v>453</v>
      </c>
      <c r="E111" s="16" t="s">
        <v>177</v>
      </c>
      <c r="F111" s="31" t="n">
        <v>1</v>
      </c>
      <c r="G111" s="16" t="n">
        <f aca="false">COUNTIFS(Cotações!$D$2:$D$2,$A111)</f>
        <v>0</v>
      </c>
      <c r="H111" s="32" t="str">
        <f aca="false">IF(G111=0,"—",_xlfn.MINIFS(Cotações!$I$2:$I$2,Cotações!$D$2:$D$2,$A111))</f>
        <v>—</v>
      </c>
      <c r="I111" s="19" t="str">
        <f aca="false">IF(G111=0,"—",IFERROR(H111*F111,""))</f>
        <v>—</v>
      </c>
      <c r="J111" s="16" t="s">
        <v>454</v>
      </c>
    </row>
    <row r="112" customFormat="false" ht="15" hidden="false" customHeight="false" outlineLevel="0" collapsed="false">
      <c r="A112" s="21" t="s">
        <v>455</v>
      </c>
      <c r="B112" s="22" t="s">
        <v>75</v>
      </c>
      <c r="C112" s="22" t="s">
        <v>456</v>
      </c>
      <c r="D112" s="22" t="s">
        <v>457</v>
      </c>
      <c r="E112" s="21" t="s">
        <v>177</v>
      </c>
      <c r="F112" s="29" t="n">
        <v>2</v>
      </c>
      <c r="G112" s="21" t="n">
        <f aca="false">COUNTIFS(Cotações!$D$2:$D$2,$A112)</f>
        <v>0</v>
      </c>
      <c r="H112" s="30" t="str">
        <f aca="false">IF(G112=0,"—",_xlfn.MINIFS(Cotações!$I$2:$I$2,Cotações!$D$2:$D$2,$A112))</f>
        <v>—</v>
      </c>
      <c r="I112" s="24" t="str">
        <f aca="false">IF(G112=0,"—",IFERROR(H112*F112,""))</f>
        <v>—</v>
      </c>
      <c r="J112" s="21" t="s">
        <v>458</v>
      </c>
    </row>
    <row r="113" customFormat="false" ht="15" hidden="false" customHeight="false" outlineLevel="0" collapsed="false">
      <c r="A113" s="16" t="s">
        <v>459</v>
      </c>
      <c r="B113" s="17" t="s">
        <v>75</v>
      </c>
      <c r="C113" s="17" t="s">
        <v>460</v>
      </c>
      <c r="D113" s="17" t="s">
        <v>461</v>
      </c>
      <c r="E113" s="16" t="s">
        <v>177</v>
      </c>
      <c r="F113" s="31" t="n">
        <v>1</v>
      </c>
      <c r="G113" s="16" t="n">
        <f aca="false">COUNTIFS(Cotações!$D$2:$D$2,$A113)</f>
        <v>0</v>
      </c>
      <c r="H113" s="32" t="str">
        <f aca="false">IF(G113=0,"—",_xlfn.MINIFS(Cotações!$I$2:$I$2,Cotações!$D$2:$D$2,$A113))</f>
        <v>—</v>
      </c>
      <c r="I113" s="19" t="str">
        <f aca="false">IF(G113=0,"—",IFERROR(H113*F113,""))</f>
        <v>—</v>
      </c>
      <c r="J113" s="16" t="s">
        <v>462</v>
      </c>
    </row>
    <row r="114" customFormat="false" ht="15" hidden="false" customHeight="false" outlineLevel="0" collapsed="false">
      <c r="A114" s="21" t="s">
        <v>463</v>
      </c>
      <c r="B114" s="22" t="s">
        <v>75</v>
      </c>
      <c r="C114" s="22" t="s">
        <v>464</v>
      </c>
      <c r="D114" s="22" t="s">
        <v>465</v>
      </c>
      <c r="E114" s="21" t="s">
        <v>177</v>
      </c>
      <c r="F114" s="29" t="n">
        <v>1</v>
      </c>
      <c r="G114" s="21" t="n">
        <f aca="false">COUNTIFS(Cotações!$D$2:$D$2,$A114)</f>
        <v>0</v>
      </c>
      <c r="H114" s="30" t="str">
        <f aca="false">IF(G114=0,"—",_xlfn.MINIFS(Cotações!$I$2:$I$2,Cotações!$D$2:$D$2,$A114))</f>
        <v>—</v>
      </c>
      <c r="I114" s="24" t="str">
        <f aca="false">IF(G114=0,"—",IFERROR(H114*F114,""))</f>
        <v>—</v>
      </c>
      <c r="J114" s="21" t="s">
        <v>466</v>
      </c>
    </row>
    <row r="115" customFormat="false" ht="15" hidden="false" customHeight="false" outlineLevel="0" collapsed="false">
      <c r="A115" s="16" t="s">
        <v>467</v>
      </c>
      <c r="B115" s="17" t="s">
        <v>75</v>
      </c>
      <c r="C115" s="17" t="s">
        <v>468</v>
      </c>
      <c r="D115" s="17" t="s">
        <v>469</v>
      </c>
      <c r="E115" s="16" t="s">
        <v>131</v>
      </c>
      <c r="F115" s="31" t="n">
        <v>34</v>
      </c>
      <c r="G115" s="16" t="n">
        <f aca="false">COUNTIFS(Cotações!$D$2:$D$2,$A115)</f>
        <v>0</v>
      </c>
      <c r="H115" s="32" t="str">
        <f aca="false">IF(G115=0,"—",_xlfn.MINIFS(Cotações!$I$2:$I$2,Cotações!$D$2:$D$2,$A115))</f>
        <v>—</v>
      </c>
      <c r="I115" s="19" t="str">
        <f aca="false">IF(G115=0,"—",IFERROR(H115*F115,""))</f>
        <v>—</v>
      </c>
      <c r="J115" s="16" t="s">
        <v>470</v>
      </c>
    </row>
    <row r="116" customFormat="false" ht="15" hidden="false" customHeight="false" outlineLevel="0" collapsed="false">
      <c r="A116" s="21" t="s">
        <v>471</v>
      </c>
      <c r="B116" s="22" t="s">
        <v>75</v>
      </c>
      <c r="C116" s="22" t="s">
        <v>472</v>
      </c>
      <c r="D116" s="22" t="s">
        <v>473</v>
      </c>
      <c r="E116" s="21" t="s">
        <v>131</v>
      </c>
      <c r="F116" s="29" t="n">
        <v>8</v>
      </c>
      <c r="G116" s="21" t="n">
        <f aca="false">COUNTIFS(Cotações!$D$2:$D$2,$A116)</f>
        <v>0</v>
      </c>
      <c r="H116" s="30" t="str">
        <f aca="false">IF(G116=0,"—",_xlfn.MINIFS(Cotações!$I$2:$I$2,Cotações!$D$2:$D$2,$A116))</f>
        <v>—</v>
      </c>
      <c r="I116" s="24" t="str">
        <f aca="false">IF(G116=0,"—",IFERROR(H116*F116,""))</f>
        <v>—</v>
      </c>
      <c r="J116" s="21"/>
    </row>
    <row r="117" customFormat="false" ht="15" hidden="false" customHeight="false" outlineLevel="0" collapsed="false">
      <c r="A117" s="16" t="s">
        <v>474</v>
      </c>
      <c r="B117" s="17" t="s">
        <v>75</v>
      </c>
      <c r="C117" s="17" t="s">
        <v>475</v>
      </c>
      <c r="D117" s="17"/>
      <c r="E117" s="16" t="s">
        <v>476</v>
      </c>
      <c r="F117" s="31" t="n">
        <v>3</v>
      </c>
      <c r="G117" s="16" t="n">
        <f aca="false">COUNTIFS(Cotações!$D$2:$D$2,$A117)</f>
        <v>0</v>
      </c>
      <c r="H117" s="32" t="str">
        <f aca="false">IF(G117=0,"—",_xlfn.MINIFS(Cotações!$I$2:$I$2,Cotações!$D$2:$D$2,$A117))</f>
        <v>—</v>
      </c>
      <c r="I117" s="19" t="str">
        <f aca="false">IF(G117=0,"—",IFERROR(H117*F117,""))</f>
        <v>—</v>
      </c>
      <c r="J117" s="16"/>
    </row>
    <row r="118" customFormat="false" ht="15" hidden="false" customHeight="false" outlineLevel="0" collapsed="false">
      <c r="A118" s="21" t="s">
        <v>477</v>
      </c>
      <c r="B118" s="22" t="s">
        <v>75</v>
      </c>
      <c r="C118" s="22" t="s">
        <v>478</v>
      </c>
      <c r="D118" s="22" t="s">
        <v>479</v>
      </c>
      <c r="E118" s="21" t="s">
        <v>131</v>
      </c>
      <c r="F118" s="29" t="n">
        <v>20</v>
      </c>
      <c r="G118" s="21" t="n">
        <f aca="false">COUNTIFS(Cotações!$D$2:$D$2,$A118)</f>
        <v>0</v>
      </c>
      <c r="H118" s="30" t="str">
        <f aca="false">IF(G118=0,"—",_xlfn.MINIFS(Cotações!$I$2:$I$2,Cotações!$D$2:$D$2,$A118))</f>
        <v>—</v>
      </c>
      <c r="I118" s="24" t="str">
        <f aca="false">IF(G118=0,"—",IFERROR(H118*F118,""))</f>
        <v>—</v>
      </c>
      <c r="J118" s="21" t="s">
        <v>480</v>
      </c>
    </row>
    <row r="119" customFormat="false" ht="15" hidden="false" customHeight="false" outlineLevel="0" collapsed="false">
      <c r="A119" s="16" t="s">
        <v>481</v>
      </c>
      <c r="B119" s="17" t="s">
        <v>75</v>
      </c>
      <c r="C119" s="17" t="s">
        <v>482</v>
      </c>
      <c r="D119" s="17"/>
      <c r="E119" s="16" t="s">
        <v>105</v>
      </c>
      <c r="F119" s="31" t="n">
        <v>1</v>
      </c>
      <c r="G119" s="16" t="n">
        <f aca="false">COUNTIFS(Cotações!$D$2:$D$2,$A119)</f>
        <v>0</v>
      </c>
      <c r="H119" s="32" t="str">
        <f aca="false">IF(G119=0,"—",_xlfn.MINIFS(Cotações!$I$2:$I$2,Cotações!$D$2:$D$2,$A119))</f>
        <v>—</v>
      </c>
      <c r="I119" s="19" t="str">
        <f aca="false">IF(G119=0,"—",IFERROR(H119*F119,""))</f>
        <v>—</v>
      </c>
      <c r="J119" s="16" t="s">
        <v>483</v>
      </c>
    </row>
    <row r="120" customFormat="false" ht="22.35" hidden="false" customHeight="false" outlineLevel="0" collapsed="false">
      <c r="A120" s="21" t="s">
        <v>484</v>
      </c>
      <c r="B120" s="22" t="s">
        <v>97</v>
      </c>
      <c r="C120" s="22" t="s">
        <v>485</v>
      </c>
      <c r="D120" s="22" t="s">
        <v>486</v>
      </c>
      <c r="E120" s="21" t="s">
        <v>7</v>
      </c>
      <c r="F120" s="29" t="n">
        <v>47</v>
      </c>
      <c r="G120" s="21" t="n">
        <f aca="false">COUNTIFS(Cotações!$D$2:$D$2,$A120)</f>
        <v>0</v>
      </c>
      <c r="H120" s="30" t="str">
        <f aca="false">IF(G120=0,"—",_xlfn.MINIFS(Cotações!$I$2:$I$2,Cotações!$D$2:$D$2,$A120))</f>
        <v>—</v>
      </c>
      <c r="I120" s="24" t="str">
        <f aca="false">IF(G120=0,"—",IFERROR(H120*F120,""))</f>
        <v>—</v>
      </c>
      <c r="J120" s="21" t="s">
        <v>487</v>
      </c>
    </row>
    <row r="121" customFormat="false" ht="22.35" hidden="false" customHeight="false" outlineLevel="0" collapsed="false">
      <c r="A121" s="16" t="s">
        <v>488</v>
      </c>
      <c r="B121" s="17" t="s">
        <v>97</v>
      </c>
      <c r="C121" s="17" t="s">
        <v>489</v>
      </c>
      <c r="D121" s="17" t="s">
        <v>490</v>
      </c>
      <c r="E121" s="16" t="s">
        <v>7</v>
      </c>
      <c r="F121" s="31" t="n">
        <v>45</v>
      </c>
      <c r="G121" s="16" t="n">
        <f aca="false">COUNTIFS(Cotações!$D$2:$D$2,$A121)</f>
        <v>0</v>
      </c>
      <c r="H121" s="32" t="str">
        <f aca="false">IF(G121=0,"—",_xlfn.MINIFS(Cotações!$I$2:$I$2,Cotações!$D$2:$D$2,$A121))</f>
        <v>—</v>
      </c>
      <c r="I121" s="19" t="str">
        <f aca="false">IF(G121=0,"—",IFERROR(H121*F121,""))</f>
        <v>—</v>
      </c>
      <c r="J121" s="16" t="s">
        <v>491</v>
      </c>
    </row>
    <row r="122" customFormat="false" ht="32.8" hidden="false" customHeight="false" outlineLevel="0" collapsed="false">
      <c r="A122" s="21" t="s">
        <v>492</v>
      </c>
      <c r="B122" s="22" t="s">
        <v>97</v>
      </c>
      <c r="C122" s="22" t="s">
        <v>493</v>
      </c>
      <c r="D122" s="22" t="s">
        <v>494</v>
      </c>
      <c r="E122" s="21" t="s">
        <v>7</v>
      </c>
      <c r="F122" s="29" t="n">
        <v>80</v>
      </c>
      <c r="G122" s="21" t="n">
        <f aca="false">COUNTIFS(Cotações!$D$2:$D$2,$A122)</f>
        <v>0</v>
      </c>
      <c r="H122" s="30" t="str">
        <f aca="false">IF(G122=0,"—",_xlfn.MINIFS(Cotações!$I$2:$I$2,Cotações!$D$2:$D$2,$A122))</f>
        <v>—</v>
      </c>
      <c r="I122" s="24" t="str">
        <f aca="false">IF(G122=0,"—",IFERROR(H122*F122,""))</f>
        <v>—</v>
      </c>
      <c r="J122" s="21" t="s">
        <v>495</v>
      </c>
    </row>
    <row r="123" customFormat="false" ht="22.35" hidden="false" customHeight="false" outlineLevel="0" collapsed="false">
      <c r="A123" s="16" t="s">
        <v>496</v>
      </c>
      <c r="B123" s="17" t="s">
        <v>97</v>
      </c>
      <c r="C123" s="17" t="s">
        <v>497</v>
      </c>
      <c r="D123" s="17" t="s">
        <v>498</v>
      </c>
      <c r="E123" s="16" t="s">
        <v>177</v>
      </c>
      <c r="F123" s="31" t="n">
        <v>1</v>
      </c>
      <c r="G123" s="16" t="n">
        <f aca="false">COUNTIFS(Cotações!$D$2:$D$2,$A123)</f>
        <v>0</v>
      </c>
      <c r="H123" s="32" t="str">
        <f aca="false">IF(G123=0,"—",_xlfn.MINIFS(Cotações!$I$2:$I$2,Cotações!$D$2:$D$2,$A123))</f>
        <v>—</v>
      </c>
      <c r="I123" s="19" t="str">
        <f aca="false">IF(G123=0,"—",IFERROR(H123*F123,""))</f>
        <v>—</v>
      </c>
      <c r="J123" s="16" t="s">
        <v>499</v>
      </c>
    </row>
    <row r="124" customFormat="false" ht="22.35" hidden="false" customHeight="false" outlineLevel="0" collapsed="false">
      <c r="A124" s="21" t="s">
        <v>500</v>
      </c>
      <c r="B124" s="22" t="s">
        <v>97</v>
      </c>
      <c r="C124" s="22" t="s">
        <v>501</v>
      </c>
      <c r="D124" s="22" t="s">
        <v>502</v>
      </c>
      <c r="E124" s="21" t="s">
        <v>7</v>
      </c>
      <c r="F124" s="29" t="n">
        <v>12</v>
      </c>
      <c r="G124" s="21" t="n">
        <f aca="false">COUNTIFS(Cotações!$D$2:$D$2,$A124)</f>
        <v>0</v>
      </c>
      <c r="H124" s="30" t="str">
        <f aca="false">IF(G124=0,"—",_xlfn.MINIFS(Cotações!$I$2:$I$2,Cotações!$D$2:$D$2,$A124))</f>
        <v>—</v>
      </c>
      <c r="I124" s="24" t="str">
        <f aca="false">IF(G124=0,"—",IFERROR(H124*F124,""))</f>
        <v>—</v>
      </c>
      <c r="J124" s="21" t="s">
        <v>503</v>
      </c>
    </row>
    <row r="125" customFormat="false" ht="22.35" hidden="false" customHeight="false" outlineLevel="0" collapsed="false">
      <c r="A125" s="16" t="s">
        <v>504</v>
      </c>
      <c r="B125" s="17" t="s">
        <v>97</v>
      </c>
      <c r="C125" s="17" t="s">
        <v>505</v>
      </c>
      <c r="D125" s="17" t="s">
        <v>506</v>
      </c>
      <c r="E125" s="16" t="s">
        <v>7</v>
      </c>
      <c r="F125" s="31" t="n">
        <v>14</v>
      </c>
      <c r="G125" s="16" t="n">
        <f aca="false">COUNTIFS(Cotações!$D$2:$D$2,$A125)</f>
        <v>0</v>
      </c>
      <c r="H125" s="32" t="str">
        <f aca="false">IF(G125=0,"—",_xlfn.MINIFS(Cotações!$I$2:$I$2,Cotações!$D$2:$D$2,$A125))</f>
        <v>—</v>
      </c>
      <c r="I125" s="19" t="str">
        <f aca="false">IF(G125=0,"—",IFERROR(H125*F125,""))</f>
        <v>—</v>
      </c>
      <c r="J125" s="16" t="s">
        <v>507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8"/>
    <col collapsed="false" customWidth="true" hidden="false" outlineLevel="0" max="5" min="5" style="0" width="40"/>
    <col collapsed="false" customWidth="true" hidden="false" outlineLevel="0" max="6" min="6" style="0" width="7"/>
    <col collapsed="false" customWidth="true" hidden="false" outlineLevel="0" max="7" min="7" style="0" width="22"/>
    <col collapsed="false" customWidth="true" hidden="false" outlineLevel="0" max="8" min="8" style="0" width="9"/>
    <col collapsed="false" customWidth="true" hidden="false" outlineLevel="0" max="10" min="9" style="0" width="13"/>
    <col collapsed="false" customWidth="true" hidden="false" outlineLevel="0" max="11" min="11" style="0" width="9"/>
    <col collapsed="false" customWidth="true" hidden="false" outlineLevel="0" max="12" min="12" style="0" width="44"/>
  </cols>
  <sheetData>
    <row r="1" customFormat="false" ht="25.5" hidden="false" customHeight="true" outlineLevel="0" collapsed="false">
      <c r="A1" s="15" t="s">
        <v>87</v>
      </c>
      <c r="B1" s="15" t="s">
        <v>508</v>
      </c>
      <c r="C1" s="15" t="s">
        <v>88</v>
      </c>
      <c r="D1" s="15" t="s">
        <v>509</v>
      </c>
      <c r="E1" s="15" t="s">
        <v>89</v>
      </c>
      <c r="F1" s="15" t="s">
        <v>45</v>
      </c>
      <c r="G1" s="15" t="s">
        <v>510</v>
      </c>
      <c r="H1" s="15" t="s">
        <v>92</v>
      </c>
      <c r="I1" s="15" t="s">
        <v>511</v>
      </c>
      <c r="J1" s="15" t="s">
        <v>512</v>
      </c>
      <c r="K1" s="15" t="s">
        <v>513</v>
      </c>
      <c r="L1" s="15" t="s">
        <v>55</v>
      </c>
    </row>
    <row r="3" customFormat="false" ht="15" hidden="false" customHeight="false" outlineLevel="0" collapsed="false">
      <c r="A3" s="33" t="s">
        <v>514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</row>
  </sheetData>
  <mergeCells count="1">
    <mergeCell ref="A3:L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6"/>
    <col collapsed="false" customWidth="true" hidden="false" outlineLevel="0" max="6" min="3" style="0" width="14"/>
    <col collapsed="false" customWidth="true" hidden="false" outlineLevel="0" max="7" min="7" style="0" width="26"/>
  </cols>
  <sheetData>
    <row r="1" customFormat="false" ht="16.15" hidden="false" customHeight="false" outlineLevel="0" collapsed="false">
      <c r="A1" s="14" t="s">
        <v>515</v>
      </c>
    </row>
    <row r="2" customFormat="false" ht="25.5" hidden="false" customHeight="true" outlineLevel="0" collapsed="false">
      <c r="A2" s="15" t="s">
        <v>44</v>
      </c>
      <c r="B2" s="15" t="s">
        <v>45</v>
      </c>
      <c r="C2" s="15" t="s">
        <v>46</v>
      </c>
      <c r="D2" s="15" t="s">
        <v>47</v>
      </c>
      <c r="E2" s="15" t="s">
        <v>516</v>
      </c>
      <c r="F2" s="15" t="s">
        <v>54</v>
      </c>
      <c r="G2" s="15" t="s">
        <v>517</v>
      </c>
    </row>
    <row r="3" customFormat="false" ht="15" hidden="false" customHeight="false" outlineLevel="0" collapsed="false">
      <c r="A3" s="16" t="n">
        <v>1</v>
      </c>
      <c r="B3" s="17" t="s">
        <v>56</v>
      </c>
      <c r="C3" s="18" t="n">
        <f aca="false">Etapas!C3</f>
        <v>20000</v>
      </c>
      <c r="D3" s="18" t="n">
        <f aca="false">Etapas!D3</f>
        <v>35000</v>
      </c>
      <c r="E3" s="19" t="n">
        <f aca="false">IF(Etapas!I3&gt;0,Etapas!I3,Etapas!J3)</f>
        <v>0</v>
      </c>
      <c r="F3" s="19" t="str">
        <f aca="false">IF(E3=0,"",D3-E3)</f>
        <v/>
      </c>
      <c r="G3" s="16" t="str">
        <f aca="false">IF(E3=0,"sem cotação",IF(E3&gt;D3,"ACIMA da faixa",IF(E3&lt;C3,"abaixo da faixa","dentro da faixa")))</f>
        <v>sem cotação</v>
      </c>
    </row>
    <row r="4" customFormat="false" ht="15" hidden="false" customHeight="false" outlineLevel="0" collapsed="false">
      <c r="A4" s="21" t="n">
        <v>2</v>
      </c>
      <c r="B4" s="22" t="s">
        <v>59</v>
      </c>
      <c r="C4" s="23" t="n">
        <f aca="false">Etapas!C4</f>
        <v>19000</v>
      </c>
      <c r="D4" s="23" t="n">
        <f aca="false">Etapas!D4</f>
        <v>26000</v>
      </c>
      <c r="E4" s="24" t="n">
        <f aca="false">IF(Etapas!I4&gt;0,Etapas!I4,Etapas!J4)</f>
        <v>0</v>
      </c>
      <c r="F4" s="24" t="str">
        <f aca="false">IF(E4=0,"",D4-E4)</f>
        <v/>
      </c>
      <c r="G4" s="21" t="str">
        <f aca="false">IF(E4=0,"sem cotação",IF(E4&gt;D4,"ACIMA da faixa",IF(E4&lt;C4,"abaixo da faixa","dentro da faixa")))</f>
        <v>sem cotação</v>
      </c>
    </row>
    <row r="5" customFormat="false" ht="15" hidden="false" customHeight="false" outlineLevel="0" collapsed="false">
      <c r="A5" s="16" t="n">
        <v>3</v>
      </c>
      <c r="B5" s="17" t="s">
        <v>61</v>
      </c>
      <c r="C5" s="18" t="n">
        <f aca="false">Etapas!C5</f>
        <v>28000</v>
      </c>
      <c r="D5" s="18" t="n">
        <f aca="false">Etapas!D5</f>
        <v>42000</v>
      </c>
      <c r="E5" s="19" t="n">
        <f aca="false">IF(Etapas!I5&gt;0,Etapas!I5,Etapas!J5)</f>
        <v>0</v>
      </c>
      <c r="F5" s="19" t="str">
        <f aca="false">IF(E5=0,"",D5-E5)</f>
        <v/>
      </c>
      <c r="G5" s="16" t="str">
        <f aca="false">IF(E5=0,"sem cotação",IF(E5&gt;D5,"ACIMA da faixa",IF(E5&lt;C5,"abaixo da faixa","dentro da faixa")))</f>
        <v>sem cotação</v>
      </c>
    </row>
    <row r="6" customFormat="false" ht="22.35" hidden="false" customHeight="false" outlineLevel="0" collapsed="false">
      <c r="A6" s="21" t="n">
        <v>4</v>
      </c>
      <c r="B6" s="22" t="s">
        <v>63</v>
      </c>
      <c r="C6" s="23" t="n">
        <f aca="false">Etapas!C6</f>
        <v>110000</v>
      </c>
      <c r="D6" s="23" t="n">
        <f aca="false">Etapas!D6</f>
        <v>156000</v>
      </c>
      <c r="E6" s="24" t="n">
        <f aca="false">IF(Etapas!I6&gt;0,Etapas!I6,Etapas!J6)</f>
        <v>0</v>
      </c>
      <c r="F6" s="24" t="str">
        <f aca="false">IF(E6=0,"",D6-E6)</f>
        <v/>
      </c>
      <c r="G6" s="21" t="str">
        <f aca="false">IF(E6=0,"sem cotação",IF(E6&gt;D6,"ACIMA da faixa",IF(E6&lt;C6,"abaixo da faixa","dentro da faixa")))</f>
        <v>sem cotação</v>
      </c>
    </row>
    <row r="7" customFormat="false" ht="15" hidden="false" customHeight="false" outlineLevel="0" collapsed="false">
      <c r="A7" s="16" t="n">
        <v>5</v>
      </c>
      <c r="B7" s="17" t="s">
        <v>65</v>
      </c>
      <c r="C7" s="18" t="n">
        <f aca="false">Etapas!C7</f>
        <v>19000</v>
      </c>
      <c r="D7" s="18" t="n">
        <f aca="false">Etapas!D7</f>
        <v>26000</v>
      </c>
      <c r="E7" s="19" t="n">
        <f aca="false">IF(Etapas!I7&gt;0,Etapas!I7,Etapas!J7)</f>
        <v>0</v>
      </c>
      <c r="F7" s="19" t="str">
        <f aca="false">IF(E7=0,"",D7-E7)</f>
        <v/>
      </c>
      <c r="G7" s="16" t="str">
        <f aca="false">IF(E7=0,"sem cotação",IF(E7&gt;D7,"ACIMA da faixa",IF(E7&lt;C7,"abaixo da faixa","dentro da faixa")))</f>
        <v>sem cotação</v>
      </c>
    </row>
    <row r="8" customFormat="false" ht="15" hidden="false" customHeight="false" outlineLevel="0" collapsed="false">
      <c r="A8" s="21" t="n">
        <v>6</v>
      </c>
      <c r="B8" s="22" t="s">
        <v>67</v>
      </c>
      <c r="C8" s="23" t="n">
        <f aca="false">Etapas!C8</f>
        <v>40000</v>
      </c>
      <c r="D8" s="23" t="n">
        <f aca="false">Etapas!D8</f>
        <v>60000</v>
      </c>
      <c r="E8" s="24" t="n">
        <f aca="false">IF(Etapas!I8&gt;0,Etapas!I8,Etapas!J8)</f>
        <v>0</v>
      </c>
      <c r="F8" s="24" t="str">
        <f aca="false">IF(E8=0,"",D8-E8)</f>
        <v/>
      </c>
      <c r="G8" s="21" t="str">
        <f aca="false">IF(E8=0,"sem cotação",IF(E8&gt;D8,"ACIMA da faixa",IF(E8&lt;C8,"abaixo da faixa","dentro da faixa")))</f>
        <v>sem cotação</v>
      </c>
    </row>
    <row r="9" customFormat="false" ht="15" hidden="false" customHeight="false" outlineLevel="0" collapsed="false">
      <c r="A9" s="16" t="n">
        <v>7</v>
      </c>
      <c r="B9" s="17" t="s">
        <v>69</v>
      </c>
      <c r="C9" s="18" t="n">
        <f aca="false">Etapas!C9</f>
        <v>58000</v>
      </c>
      <c r="D9" s="18" t="n">
        <f aca="false">Etapas!D9</f>
        <v>90000</v>
      </c>
      <c r="E9" s="19" t="n">
        <f aca="false">IF(Etapas!I9&gt;0,Etapas!I9,Etapas!J9)</f>
        <v>0</v>
      </c>
      <c r="F9" s="19" t="str">
        <f aca="false">IF(E9=0,"",D9-E9)</f>
        <v/>
      </c>
      <c r="G9" s="16" t="str">
        <f aca="false">IF(E9=0,"sem cotação",IF(E9&gt;D9,"ACIMA da faixa",IF(E9&lt;C9,"abaixo da faixa","dentro da faixa")))</f>
        <v>sem cotação</v>
      </c>
    </row>
    <row r="10" customFormat="false" ht="15" hidden="false" customHeight="false" outlineLevel="0" collapsed="false">
      <c r="A10" s="21" t="n">
        <v>8</v>
      </c>
      <c r="B10" s="22" t="s">
        <v>71</v>
      </c>
      <c r="C10" s="23" t="n">
        <f aca="false">Etapas!C10</f>
        <v>33000</v>
      </c>
      <c r="D10" s="23" t="n">
        <f aca="false">Etapas!D10</f>
        <v>52000</v>
      </c>
      <c r="E10" s="24" t="n">
        <f aca="false">IF(Etapas!I10&gt;0,Etapas!I10,Etapas!J10)</f>
        <v>0</v>
      </c>
      <c r="F10" s="24" t="str">
        <f aca="false">IF(E10=0,"",D10-E10)</f>
        <v/>
      </c>
      <c r="G10" s="21" t="str">
        <f aca="false">IF(E10=0,"sem cotação",IF(E10&gt;D10,"ACIMA da faixa",IF(E10&lt;C10,"abaixo da faixa","dentro da faixa")))</f>
        <v>sem cotação</v>
      </c>
    </row>
    <row r="11" customFormat="false" ht="15" hidden="false" customHeight="false" outlineLevel="0" collapsed="false">
      <c r="A11" s="16" t="n">
        <v>9</v>
      </c>
      <c r="B11" s="17" t="s">
        <v>73</v>
      </c>
      <c r="C11" s="18" t="n">
        <f aca="false">Etapas!C11</f>
        <v>45000</v>
      </c>
      <c r="D11" s="18" t="n">
        <f aca="false">Etapas!D11</f>
        <v>70000</v>
      </c>
      <c r="E11" s="19" t="n">
        <f aca="false">IF(Etapas!I11&gt;0,Etapas!I11,Etapas!J11)</f>
        <v>0</v>
      </c>
      <c r="F11" s="19" t="str">
        <f aca="false">IF(E11=0,"",D11-E11)</f>
        <v/>
      </c>
      <c r="G11" s="16" t="str">
        <f aca="false">IF(E11=0,"sem cotação",IF(E11&gt;D11,"ACIMA da faixa",IF(E11&lt;C11,"abaixo da faixa","dentro da faixa")))</f>
        <v>sem cotação</v>
      </c>
    </row>
    <row r="12" customFormat="false" ht="15" hidden="false" customHeight="false" outlineLevel="0" collapsed="false">
      <c r="A12" s="21" t="n">
        <v>10</v>
      </c>
      <c r="B12" s="22" t="s">
        <v>75</v>
      </c>
      <c r="C12" s="23" t="n">
        <f aca="false">Etapas!C12</f>
        <v>18000</v>
      </c>
      <c r="D12" s="23" t="n">
        <f aca="false">Etapas!D12</f>
        <v>28000</v>
      </c>
      <c r="E12" s="24" t="n">
        <f aca="false">IF(Etapas!I12&gt;0,Etapas!I12,Etapas!J12)</f>
        <v>0</v>
      </c>
      <c r="F12" s="24" t="str">
        <f aca="false">IF(E12=0,"",D12-E12)</f>
        <v/>
      </c>
      <c r="G12" s="21" t="str">
        <f aca="false">IF(E12=0,"sem cotação",IF(E12&gt;D12,"ACIMA da faixa",IF(E12&lt;C12,"abaixo da faixa","dentro da faixa")))</f>
        <v>sem cotação</v>
      </c>
    </row>
    <row r="13" customFormat="false" ht="15" hidden="false" customHeight="false" outlineLevel="0" collapsed="false">
      <c r="A13" s="16" t="n">
        <v>11</v>
      </c>
      <c r="B13" s="17" t="s">
        <v>77</v>
      </c>
      <c r="C13" s="18" t="n">
        <f aca="false">Etapas!C13</f>
        <v>48000</v>
      </c>
      <c r="D13" s="18" t="n">
        <f aca="false">Etapas!D13</f>
        <v>82000</v>
      </c>
      <c r="E13" s="19" t="n">
        <f aca="false">IF(Etapas!I13&gt;0,Etapas!I13,Etapas!J13)</f>
        <v>0</v>
      </c>
      <c r="F13" s="19" t="str">
        <f aca="false">IF(E13=0,"",D13-E13)</f>
        <v/>
      </c>
      <c r="G13" s="16" t="str">
        <f aca="false">IF(E13=0,"sem cotação",IF(E13&gt;D13,"ACIMA da faixa",IF(E13&lt;C13,"abaixo da faixa","dentro da faixa")))</f>
        <v>sem cotação</v>
      </c>
    </row>
    <row r="14" customFormat="false" ht="15" hidden="false" customHeight="false" outlineLevel="0" collapsed="false">
      <c r="A14" s="21" t="n">
        <v>12</v>
      </c>
      <c r="B14" s="22" t="s">
        <v>79</v>
      </c>
      <c r="C14" s="23" t="n">
        <f aca="false">Etapas!C14</f>
        <v>20000</v>
      </c>
      <c r="D14" s="23" t="n">
        <f aca="false">Etapas!D14</f>
        <v>33000</v>
      </c>
      <c r="E14" s="24" t="n">
        <f aca="false">IF(Etapas!I14&gt;0,Etapas!I14,Etapas!J14)</f>
        <v>0</v>
      </c>
      <c r="F14" s="24" t="str">
        <f aca="false">IF(E14=0,"",D14-E14)</f>
        <v/>
      </c>
      <c r="G14" s="21" t="str">
        <f aca="false">IF(E14=0,"sem cotação",IF(E14&gt;D14,"ACIMA da faixa",IF(E14&lt;C14,"abaixo da faixa","dentro da faixa")))</f>
        <v>sem cotação</v>
      </c>
    </row>
    <row r="15" customFormat="false" ht="15" hidden="false" customHeight="false" outlineLevel="0" collapsed="false">
      <c r="A15" s="16" t="n">
        <v>13</v>
      </c>
      <c r="B15" s="17" t="s">
        <v>81</v>
      </c>
      <c r="C15" s="18" t="n">
        <f aca="false">Etapas!C15</f>
        <v>30000</v>
      </c>
      <c r="D15" s="18" t="n">
        <f aca="false">Etapas!D15</f>
        <v>50000</v>
      </c>
      <c r="E15" s="19" t="n">
        <f aca="false">IF(Etapas!I15&gt;0,Etapas!I15,Etapas!J15)</f>
        <v>0</v>
      </c>
      <c r="F15" s="19" t="str">
        <f aca="false">IF(E15=0,"",D15-E15)</f>
        <v/>
      </c>
      <c r="G15" s="16" t="str">
        <f aca="false">IF(E15=0,"sem cotação",IF(E15&gt;D15,"ACIMA da faixa",IF(E15&lt;C15,"abaixo da faixa","dentro da faixa")))</f>
        <v>sem cotação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62"/>
  </cols>
  <sheetData>
    <row r="1" customFormat="false" ht="16.15" hidden="false" customHeight="false" outlineLevel="0" collapsed="false">
      <c r="A1" s="14" t="s">
        <v>518</v>
      </c>
    </row>
    <row r="2" customFormat="false" ht="25.5" hidden="false" customHeight="true" outlineLevel="0" collapsed="false">
      <c r="A2" s="15" t="s">
        <v>508</v>
      </c>
      <c r="B2" s="15" t="s">
        <v>519</v>
      </c>
      <c r="C2" s="15" t="s">
        <v>520</v>
      </c>
    </row>
    <row r="3" customFormat="false" ht="15" hidden="false" customHeight="false" outlineLevel="0" collapsed="false">
      <c r="A3" s="16" t="s">
        <v>521</v>
      </c>
      <c r="B3" s="17" t="s">
        <v>522</v>
      </c>
      <c r="C3" s="17" t="s">
        <v>523</v>
      </c>
    </row>
    <row r="4" customFormat="false" ht="15" hidden="false" customHeight="false" outlineLevel="0" collapsed="false">
      <c r="A4" s="21" t="s">
        <v>521</v>
      </c>
      <c r="B4" s="22" t="s">
        <v>524</v>
      </c>
      <c r="C4" s="22" t="s">
        <v>525</v>
      </c>
    </row>
    <row r="5" customFormat="false" ht="15" hidden="false" customHeight="false" outlineLevel="0" collapsed="false">
      <c r="A5" s="16" t="s">
        <v>521</v>
      </c>
      <c r="B5" s="17" t="s">
        <v>526</v>
      </c>
      <c r="C5" s="17" t="s">
        <v>527</v>
      </c>
    </row>
    <row r="6" customFormat="false" ht="15" hidden="false" customHeight="false" outlineLevel="0" collapsed="false">
      <c r="A6" s="21" t="s">
        <v>521</v>
      </c>
      <c r="B6" s="22" t="s">
        <v>528</v>
      </c>
      <c r="C6" s="22" t="s">
        <v>529</v>
      </c>
    </row>
    <row r="7" customFormat="false" ht="15" hidden="false" customHeight="false" outlineLevel="0" collapsed="false">
      <c r="A7" s="16" t="s">
        <v>530</v>
      </c>
      <c r="B7" s="17" t="s">
        <v>531</v>
      </c>
      <c r="C7" s="17" t="s">
        <v>532</v>
      </c>
    </row>
    <row r="8" customFormat="false" ht="15" hidden="false" customHeight="false" outlineLevel="0" collapsed="false">
      <c r="A8" s="21" t="s">
        <v>530</v>
      </c>
      <c r="B8" s="22" t="s">
        <v>533</v>
      </c>
      <c r="C8" s="22" t="s">
        <v>534</v>
      </c>
    </row>
    <row r="9" customFormat="false" ht="15" hidden="false" customHeight="false" outlineLevel="0" collapsed="false">
      <c r="A9" s="16" t="s">
        <v>530</v>
      </c>
      <c r="B9" s="17" t="s">
        <v>535</v>
      </c>
      <c r="C9" s="17" t="s">
        <v>536</v>
      </c>
    </row>
    <row r="10" customFormat="false" ht="15" hidden="false" customHeight="false" outlineLevel="0" collapsed="false">
      <c r="A10" s="21" t="s">
        <v>537</v>
      </c>
      <c r="B10" s="22" t="s">
        <v>538</v>
      </c>
      <c r="C10" s="22" t="s">
        <v>539</v>
      </c>
    </row>
    <row r="11" customFormat="false" ht="15" hidden="false" customHeight="false" outlineLevel="0" collapsed="false">
      <c r="A11" s="16" t="s">
        <v>537</v>
      </c>
      <c r="B11" s="17" t="s">
        <v>540</v>
      </c>
      <c r="C11" s="17" t="s">
        <v>541</v>
      </c>
    </row>
    <row r="12" customFormat="false" ht="15" hidden="false" customHeight="false" outlineLevel="0" collapsed="false">
      <c r="A12" s="21" t="s">
        <v>537</v>
      </c>
      <c r="B12" s="22" t="s">
        <v>542</v>
      </c>
      <c r="C12" s="22" t="s">
        <v>543</v>
      </c>
    </row>
    <row r="13" customFormat="false" ht="15" hidden="false" customHeight="false" outlineLevel="0" collapsed="false">
      <c r="A13" s="16" t="s">
        <v>537</v>
      </c>
      <c r="B13" s="17" t="s">
        <v>544</v>
      </c>
      <c r="C13" s="17" t="s">
        <v>545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2026-07-16T04:48:08Z</dcterms:created>
  <dc:creator>openpyxl</dc:creator>
  <dc:description/>
  <dc:language>en-US</dc:language>
  <cp:lastModifiedBy/>
  <dcterms:modified xsi:type="dcterms:W3CDTF">2026-07-16T04:48:09Z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