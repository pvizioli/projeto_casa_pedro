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tapas" sheetId="2" state="visible" r:id="rId2"/>
    <sheet xmlns:r="http://schemas.openxmlformats.org/officeDocument/2006/relationships" name="Itens" sheetId="3" state="visible" r:id="rId3"/>
    <sheet xmlns:r="http://schemas.openxmlformats.org/officeDocument/2006/relationships" name="Cotações" sheetId="4" state="visible" r:id="rId4"/>
    <sheet xmlns:r="http://schemas.openxmlformats.org/officeDocument/2006/relationships" name="Comparativo" sheetId="5" state="visible" r:id="rId5"/>
    <sheet xmlns:r="http://schemas.openxmlformats.org/officeDocument/2006/relationships" name="Revisões" sheetId="6" state="visible" r:id="rId6"/>
    <sheet xmlns:r="http://schemas.openxmlformats.org/officeDocument/2006/relationships"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13:49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~340 m² líquidos — perímetro + térreo</t>
        </is>
      </c>
    </row>
    <row r="21" ht="24" customHeight="1">
      <c r="A21" s="11" t="inlineStr">
        <is>
          <t>Divisórias do superior</t>
        </is>
      </c>
      <c r="B21" s="12" t="inlineStr">
        <is>
          <t>Lightwall 2P 90 mm ~80 m² (conceito mezanino: telhado apoia só no perímetro)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</t>
        </is>
      </c>
      <c r="B25" s="12" t="inlineStr">
        <is>
          <t>Área de luz descoberta até a fachada, dividida em 2 por parede cega: Luz 1 = jardim de inverno c/ parede verde e janelão 3,50; Luz 2 = varal/serve a lavanderia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Térreo — faixa SO</t>
        </is>
      </c>
      <c r="B27" s="12" t="inlineStr">
        <is>
          <t>Despensa + banheiro completo (1,50 × 2,20) + lavabo (1,50 × 1,50) no fundo da cozinha · janelas p/ o acesso lateral · porta do lavabo direto p/ a varanda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9"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térreo)</t>
        </is>
      </c>
      <c r="F4" s="21" t="inlineStr"/>
      <c r="G4" s="21" t="inlineStr">
        <is>
          <t>m²</t>
        </is>
      </c>
      <c r="H4" s="29" t="n">
        <v>340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do superior migradas p/ Lightwall (conceito mezanino)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680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340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68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98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(9,70 × 1,20 descoberta)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(agora no fundo da cozinha, faixa SO)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internas Lightwall 2P 90 mm — pavimento superior completo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80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todas as internas do superior (mezanino, lavabo, banheiros, quarto, copa, corredor, closet, transversal da suíte) · hidráulica pesada em shaft (cava ≤ 50%) · juntas dissimilares Monolev↔Lightwall c/ tela 10 cm cada lado · içamento: painéis içados pelo vazio antes do fechamento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4,85 × h ~3 m ≈ 14 m² · painéis modulares ou treliça c/ trepadeiras</t>
        </is>
      </c>
      <c r="G125" s="16" t="inlineStr">
        <is>
          <t>m²</t>
        </is>
      </c>
      <c r="H125" s="31" t="n">
        <v>14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SO/SE, porta p/ a varanda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ponto novo: ramal de esgoto e água aproveita a prumada do banheiro vizinho (paredes coladas)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economia: banheiro e lavabo compartilham a mesma parede hidráulica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sem carpete de pedra (lavabo seco)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DIY viável — ambiente pequeno e sem área molhada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2026-07-16T16:49:51Z</dcterms:created>
  <dcterms:modified xmlns:dcterms="http://purl.org/dc/terms/" xmlns:xsi="http://www.w3.org/2001/XMLSchema-instance" xsi:type="dcterms:W3CDTF">2026-07-16T16:49:52Z</dcterms:modified>
</cp:coreProperties>
</file>