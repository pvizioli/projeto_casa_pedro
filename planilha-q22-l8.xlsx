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27/07/2026 00:33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Exaustão da ilha</t>
        </is>
      </c>
      <c r="B27" s="12" t="inlineStr">
        <is>
          <t>Plenum no forro c/ 2 frestas lineares de 30 mm + luz integrada · 1.100 m³/h · duto Ø250 · motor inline REMOTO na área técnica (32-38 dB(A) na cozinha) · liga sozinho pelo consumo do circuito do Invisacook</t>
        </is>
      </c>
    </row>
    <row r="28" ht="24" customHeight="1">
      <c r="A28" s="11" t="inlineStr">
        <is>
          <t>Área técnica</t>
        </is>
      </c>
      <c r="B28" s="12" t="inlineStr">
        <is>
          <t>ABERTA (sem porta, só portão-gradil) — garante ar para a bomba de calor · acesso por escada marinheiro na parede da Luz 2 · equipamentos em IP65</t>
        </is>
      </c>
    </row>
    <row r="29" ht="24" customHeight="1">
      <c r="A29" s="10" t="inlineStr">
        <is>
          <t>COMO USAR</t>
        </is>
      </c>
      <c r="B29" s="12" t="inlineStr">
        <is>
          <t>Pré-moldado (placa de concreto) 210 m² — 2 laterais (30,00 m cada, SO/viela + NE/vizinho) + fundo (10,00 m, SE) · h=3,00 m · frente (NO) sem muro (condomínio fechado)</t>
        </is>
      </c>
    </row>
    <row r="30" ht="24" customHeight="1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2">
    <mergeCell ref="B28:D28"/>
    <mergeCell ref="A30:D32"/>
    <mergeCell ref="B23:D23"/>
    <mergeCell ref="B22:D22"/>
    <mergeCell ref="B26:D26"/>
    <mergeCell ref="B27:D27"/>
    <mergeCell ref="B21:D21"/>
    <mergeCell ref="B30:D30"/>
    <mergeCell ref="B29:D29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 de reforço e acessórios de canto — verba complementar</t>
        </is>
      </c>
      <c r="F6" s="21" t="inlineStr">
        <is>
          <t>telas de vão (diagonais sobre cantos de janela/porta), reforços de ancoragem e arremates não cobertos pela cantoneira</t>
        </is>
      </c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cotar no pacote do painel · a cantoneira de canto está no item próprio (ver Cantoneira PVC c/ tela)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>
        <is>
          <t>parede da escada · 3,20 × 4,70 m · peitoril 1,00 · caixilho estruturado</t>
        </is>
      </c>
      <c r="G30" s="21" t="inlineStr">
        <is>
          <t>m²</t>
        </is>
      </c>
      <c r="H30" s="29" t="n">
        <v>15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CORRIGIDO: largura alinhada à planta F-02 (era 2,2 m no catálogo e 2,4 m na elevação — a planta sempre mostrou 3,20 m, cobrindo todo o lance da escada) · película espelhada só no trecho do piso superior; térreo com vidro transparente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h=3,00 (mesma altura do muro de divisa)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15.3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  <row r="154">
      <c r="A154" s="21" t="inlineStr">
        <is>
          <t>IT151</t>
        </is>
      </c>
      <c r="B154" s="22" t="inlineStr">
        <is>
          <t>Geral / Estrutura</t>
        </is>
      </c>
      <c r="C154" s="22" t="inlineStr">
        <is>
          <t>material</t>
        </is>
      </c>
      <c r="D154" s="22" t="n">
        <v>4</v>
      </c>
      <c r="E154" s="21" t="inlineStr">
        <is>
          <t>Cantoneira de PVC com abas de tela — todos os cantos externos e vãos</t>
        </is>
      </c>
      <c r="F154" s="21" t="inlineStr">
        <is>
          <t>perfil de PVC rígido c/ abas de fibra de vidro álcali-resistente, embutido no basecoat/argamassa projetada · aplicar em TODOS os cantos externos (vivos) e nas laterais e vergas de portas e janelas</t>
        </is>
      </c>
      <c r="G154" s="21" t="inlineStr">
        <is>
          <t>m</t>
        </is>
      </c>
      <c r="H154" s="29" t="n">
        <v>321</v>
      </c>
      <c r="I154" s="21">
        <f>COUNTIFS(Cotações!$E$2:$E$2,$A154)</f>
        <v/>
      </c>
      <c r="J154" s="30">
        <f>IF(I154=0,"—",_xlfn.MINIFS(Cotações!$J$2:$J$2,Cotações!$E$2:$E$2,$A154))</f>
        <v/>
      </c>
      <c r="K154" s="22">
        <f>IF(I154=0,"—",IFERROR(INDEX(Cotações!$H$2:$H$2,MATCH(1,INDEX((Cotações!$E$2:$E$2=$A154)*(Cotações!$J$2:$J$2=J154),0),0)),""))</f>
        <v/>
      </c>
      <c r="L154" s="23">
        <f>IF(I154=0,"—",IFERROR(J154*H154,""))</f>
        <v/>
      </c>
      <c r="M154" s="21" t="inlineStr">
        <is>
          <t>não corrói nem mancha (ao contrário de alumínio em massa cimentícia — meio alcalino ataca o Al) · integra-se ao revestimento, sem descolamento · 292 m medidos + 10% de recorte · térreo 168 m (inclui cantos de 6,00 m do vão duplo) · superior 115 m · externos 18 m · usar também na junta dissimilar Monolev↔Lightwall onde houver aresta</t>
        </is>
      </c>
    </row>
    <row r="155">
      <c r="A155" s="16" t="inlineStr">
        <is>
          <t>IT152</t>
        </is>
      </c>
      <c r="B155" s="17" t="inlineStr">
        <is>
          <t>Climatização</t>
        </is>
      </c>
      <c r="C155" s="17" t="inlineStr">
        <is>
          <t>material</t>
        </is>
      </c>
      <c r="D155" s="17" t="n">
        <v>12</v>
      </c>
      <c r="E155" s="16" t="inlineStr">
        <is>
          <t>Exaustão da ilha — plenum embutido no forro c/ 2 frestas lineares</t>
        </is>
      </c>
      <c r="F155" s="16" t="inlineStr">
        <is>
          <t>plenum 1,40×0,90 no forro rebaixado sobre a ilha · 2 frestas de 30 mm × 2,60 m (uma de cada lado do painel de luz) · v=2,0 m/s · painel central removível p/ acesso aos filtros</t>
        </is>
      </c>
      <c r="G155" s="16" t="inlineStr">
        <is>
          <t>vb</t>
        </is>
      </c>
      <c r="H155" s="31" t="n">
        <v>1</v>
      </c>
      <c r="I155" s="16">
        <f>COUNTIFS(Cotações!$E$2:$E$2,$A155)</f>
        <v/>
      </c>
      <c r="J155" s="32">
        <f>IF(I155=0,"—",_xlfn.MINIFS(Cotações!$J$2:$J$2,Cotações!$E$2:$E$2,$A155))</f>
        <v/>
      </c>
      <c r="K155" s="17">
        <f>IF(I155=0,"—",IFERROR(INDEX(Cotações!$H$2:$H$2,MATCH(1,INDEX((Cotações!$E$2:$E$2=$A155)*(Cotações!$J$2:$J$2=J155),0),0)),""))</f>
        <v/>
      </c>
      <c r="L155" s="18">
        <f>IF(I155=0,"—",IFERROR(J155*H155,""))</f>
        <v/>
      </c>
      <c r="M155" s="16" t="inlineStr">
        <is>
          <t>iluminação linear da ilha integrada entre as frestas — um só elemento faz luz e exaustão · desligada, lê-se como junta negativa no forro</t>
        </is>
      </c>
    </row>
    <row r="156">
      <c r="A156" s="21" t="inlineStr">
        <is>
          <t>IT153</t>
        </is>
      </c>
      <c r="B156" s="22" t="inlineStr">
        <is>
          <t>Climatização</t>
        </is>
      </c>
      <c r="C156" s="22" t="inlineStr">
        <is>
          <t>material</t>
        </is>
      </c>
      <c r="D156" s="22" t="n">
        <v>12</v>
      </c>
      <c r="E156" s="21" t="inlineStr">
        <is>
          <t>Motor inline remoto Ø250 + duto e filtros da exaustão</t>
        </is>
      </c>
      <c r="F156" s="21" t="inlineStr">
        <is>
          <t>1.100 m³/h @ 200 Pa (~155 W de eixo) · duto liso Ø250 galv./inox ~10 m · 4 curvas · filtro de gordura metálico lavável · damper antirretorno · descarga em veneziana</t>
        </is>
      </c>
      <c r="G156" s="21" t="inlineStr">
        <is>
          <t>vb</t>
        </is>
      </c>
      <c r="H156" s="29" t="n">
        <v>1</v>
      </c>
      <c r="I156" s="21">
        <f>COUNTIFS(Cotações!$E$2:$E$2,$A156)</f>
        <v/>
      </c>
      <c r="J156" s="30">
        <f>IF(I156=0,"—",_xlfn.MINIFS(Cotações!$J$2:$J$2,Cotações!$E$2:$E$2,$A156))</f>
        <v/>
      </c>
      <c r="K156" s="22">
        <f>IF(I156=0,"—",IFERROR(INDEX(Cotações!$H$2:$H$2,MATCH(1,INDEX((Cotações!$E$2:$E$2=$A156)*(Cotações!$J$2:$J$2=J156),0),0)),""))</f>
        <v/>
      </c>
      <c r="L156" s="23">
        <f>IF(I156=0,"—",IFERROR(J156*H156,""))</f>
        <v/>
      </c>
      <c r="M156" s="21" t="inlineStr">
        <is>
          <t>motor instalado na ÁREA TÉCNICA (~8 m da ilha, 2 lajes de permeio): 32-38 dB(A) na cozinha vs 55-65 de coifa convencional · v no duto 6,2 m/s (silencioso) · descarga afastada ≥3 m do vidro da suíte e da janela do quarto</t>
        </is>
      </c>
    </row>
    <row r="157">
      <c r="A157" s="16" t="inlineStr">
        <is>
          <t>IT154</t>
        </is>
      </c>
      <c r="B157" s="17" t="inlineStr">
        <is>
          <t>Elétrica + Automação</t>
        </is>
      </c>
      <c r="C157" s="17" t="inlineStr">
        <is>
          <t>material</t>
        </is>
      </c>
      <c r="D157" s="17" t="n">
        <v>9</v>
      </c>
      <c r="E157" s="16" t="inlineStr">
        <is>
          <t>Automação da exaustão — medidor no circuito do Invisacook + sensor de VOC/umidade</t>
        </is>
      </c>
      <c r="F157" s="16" t="inlineStr">
        <is>
          <t>medidor de energia c/ TC no circuito C13 (40 A) + sensor VOC/umidade no forro da cozinha + atuador de velocidade do inline · integração Home Assistant</t>
        </is>
      </c>
      <c r="G157" s="16" t="inlineStr">
        <is>
          <t>cj</t>
        </is>
      </c>
      <c r="H157" s="31" t="n">
        <v>1</v>
      </c>
      <c r="I157" s="16">
        <f>COUNTIFS(Cotações!$E$2:$E$2,$A157)</f>
        <v/>
      </c>
      <c r="J157" s="32">
        <f>IF(I157=0,"—",_xlfn.MINIFS(Cotações!$J$2:$J$2,Cotações!$E$2:$E$2,$A157))</f>
        <v/>
      </c>
      <c r="K157" s="17">
        <f>IF(I157=0,"—",IFERROR(INDEX(Cotações!$H$2:$H$2,MATCH(1,INDEX((Cotações!$E$2:$E$2=$A157)*(Cotações!$J$2:$J$2=J157),0),0)),""))</f>
        <v/>
      </c>
      <c r="L157" s="18">
        <f>IF(I157=0,"—",IFERROR(J157*H157,""))</f>
        <v/>
      </c>
      <c r="M157" s="16" t="inlineStr">
        <is>
          <t>o Invisacook não tem botão nem presença — ninguém lembra de ligar a coifa · lógica: potência&gt;200 W no C13 → exaustão em baixa; VOC/umidade escalona; desliga 10 min após o fim · &gt;50% abre a janela da Luz 2 (ar de reposição)</t>
        </is>
      </c>
    </row>
    <row r="158">
      <c r="A158" s="21" t="inlineStr">
        <is>
          <t>IT155</t>
        </is>
      </c>
      <c r="B158" s="22" t="inlineStr">
        <is>
          <t>Mão de obra</t>
        </is>
      </c>
      <c r="C158" s="22" t="inlineStr">
        <is>
          <t>mão de obra</t>
        </is>
      </c>
      <c r="D158" s="22" t="n">
        <v>12</v>
      </c>
      <c r="E158" s="21" t="inlineStr">
        <is>
          <t>Mão de obra — exaustão da ilha (plenum, dutos, motor e comissionamento)</t>
        </is>
      </c>
      <c r="F158" s="21" t="inlineStr">
        <is>
          <t>montagem do plenum no forro, dutos, motor inline, balanceamento e medição de vazão</t>
        </is>
      </c>
      <c r="G158" s="21" t="inlineStr">
        <is>
          <t>vb</t>
        </is>
      </c>
      <c r="H158" s="29" t="n">
        <v>1</v>
      </c>
      <c r="I158" s="21">
        <f>COUNTIFS(Cotações!$E$2:$E$2,$A158)</f>
        <v/>
      </c>
      <c r="J158" s="30">
        <f>IF(I158=0,"—",_xlfn.MINIFS(Cotações!$J$2:$J$2,Cotações!$E$2:$E$2,$A158))</f>
        <v/>
      </c>
      <c r="K158" s="22">
        <f>IF(I158=0,"—",IFERROR(INDEX(Cotações!$H$2:$H$2,MATCH(1,INDEX((Cotações!$E$2:$E$2=$A158)*(Cotações!$J$2:$J$2=J158),0),0)),""))</f>
        <v/>
      </c>
      <c r="L158" s="23">
        <f>IF(I158=0,"—",IFERROR(J158*H158,""))</f>
        <v/>
      </c>
      <c r="M158" s="21" t="inlineStr"/>
    </row>
    <row r="159">
      <c r="A159" s="16" t="inlineStr">
        <is>
          <t>IT156</t>
        </is>
      </c>
      <c r="B159" s="17" t="inlineStr">
        <is>
          <t>Geral / Estrutura</t>
        </is>
      </c>
      <c r="C159" s="17" t="inlineStr">
        <is>
          <t>material</t>
        </is>
      </c>
      <c r="D159" s="17" t="n">
        <v>12</v>
      </c>
      <c r="E159" s="16" t="inlineStr">
        <is>
          <t>Portão-gradil da área técnica (sem porta — vão aberto p/ ventilação)</t>
        </is>
      </c>
      <c r="F159" s="16" t="inlineStr">
        <is>
          <t>gradil metálico galvanizado c/ fechadura · vão ~1,20 × 2,00 · área técnica permanece ABERTA (sem folha cega)</t>
        </is>
      </c>
      <c r="G159" s="16" t="inlineStr">
        <is>
          <t>un</t>
        </is>
      </c>
      <c r="H159" s="31" t="n">
        <v>1</v>
      </c>
      <c r="I159" s="16">
        <f>COUNTIFS(Cotações!$E$2:$E$2,$A159)</f>
        <v/>
      </c>
      <c r="J159" s="32">
        <f>IF(I159=0,"—",_xlfn.MINIFS(Cotações!$J$2:$J$2,Cotações!$E$2:$E$2,$A159))</f>
        <v/>
      </c>
      <c r="K159" s="17">
        <f>IF(I159=0,"—",IFERROR(INDEX(Cotações!$H$2:$H$2,MATCH(1,INDEX((Cotações!$E$2:$E$2=$A159)*(Cotações!$J$2:$J$2=J159),0),0)),""))</f>
        <v/>
      </c>
      <c r="L159" s="18">
        <f>IF(I159=0,"—",IFERROR(J159*H159,""))</f>
        <v/>
      </c>
      <c r="M159" s="16" t="inlineStr">
        <is>
          <t>CRÍTICO p/ a bomba de calor: BC AQS consome 250-400 m³/h e devolve o ar 4-6 °C mais frio · recinto de 11,5 m³ fechado faria o COP despencar (fabricantes exigem 15-20 m³ ou ventilação permanente) · aberta = ar infinito, COP nominal preservado · bônus: vazamento drena p/ fora, calor do rack dissipa</t>
        </is>
      </c>
    </row>
    <row r="160">
      <c r="A160" s="21" t="inlineStr">
        <is>
          <t>IT157</t>
        </is>
      </c>
      <c r="B160" s="22" t="inlineStr">
        <is>
          <t>Geral / Estrutura</t>
        </is>
      </c>
      <c r="C160" s="22" t="inlineStr">
        <is>
          <t>material</t>
        </is>
      </c>
      <c r="D160" s="22" t="n">
        <v>12</v>
      </c>
      <c r="E160" s="21" t="inlineStr">
        <is>
          <t>Escada marinheiro de acesso à área técnica</t>
        </is>
      </c>
      <c r="F160" s="21" t="inlineStr">
        <is>
          <t>metálica galvanizada · h=3,00 m · 10 degraus @0,30 · largura 0,40 · afastamento ≥0,15 da parede · prolongamento de 1,00 m acima do piso da técnica</t>
        </is>
      </c>
      <c r="G160" s="21" t="inlineStr">
        <is>
          <t>un</t>
        </is>
      </c>
      <c r="H160" s="29" t="n">
        <v>1</v>
      </c>
      <c r="I160" s="21">
        <f>COUNTIFS(Cotações!$E$2:$E$2,$A160)</f>
        <v/>
      </c>
      <c r="J160" s="30">
        <f>IF(I160=0,"—",_xlfn.MINIFS(Cotações!$J$2:$J$2,Cotações!$E$2:$E$2,$A160))</f>
        <v/>
      </c>
      <c r="K160" s="22">
        <f>IF(I160=0,"—",IFERROR(INDEX(Cotações!$H$2:$H$2,MATCH(1,INDEX((Cotações!$E$2:$E$2=$A160)*(Cotações!$J$2:$J$2=J160),0),0)),""))</f>
        <v/>
      </c>
      <c r="L160" s="23">
        <f>IF(I160=0,"—",IFERROR(J160*H160,""))</f>
        <v/>
      </c>
      <c r="M160" s="21" t="inlineStr">
        <is>
          <t>fixada na parede da Luz 2 (varal) — acesso pelo pátio descoberto, sem entrar na casa · residencial não obriga gaiola (NR-35 é p/ ambiente de trabalho), mas o prolongamento + corrimão de apoio é o mínimo sensato</t>
        </is>
      </c>
    </row>
    <row r="161">
      <c r="A161" s="16" t="inlineStr">
        <is>
          <t>IT158</t>
        </is>
      </c>
      <c r="B161" s="17" t="inlineStr">
        <is>
          <t>Elétrica + Automação</t>
        </is>
      </c>
      <c r="C161" s="17" t="inlineStr">
        <is>
          <t>material</t>
        </is>
      </c>
      <c r="D161" s="17" t="n">
        <v>9</v>
      </c>
      <c r="E161" s="16" t="inlineStr">
        <is>
          <t>Proteção IP dos equipamentos da área técnica aberta</t>
        </is>
      </c>
      <c r="F161" s="16" t="inlineStr">
        <is>
          <t>QDCA em quadro IP65 · rack de rede fechado c/ ventilação filtrada · tomadas IP54 · terminais protegidos</t>
        </is>
      </c>
      <c r="G161" s="16" t="inlineStr">
        <is>
          <t>vb</t>
        </is>
      </c>
      <c r="H161" s="31" t="n">
        <v>1</v>
      </c>
      <c r="I161" s="16">
        <f>COUNTIFS(Cotações!$E$2:$E$2,$A161)</f>
        <v/>
      </c>
      <c r="J161" s="32">
        <f>IF(I161=0,"—",_xlfn.MINIFS(Cotações!$J$2:$J$2,Cotações!$E$2:$E$2,$A161))</f>
        <v/>
      </c>
      <c r="K161" s="17">
        <f>IF(I161=0,"—",IFERROR(INDEX(Cotações!$H$2:$H$2,MATCH(1,INDEX((Cotações!$E$2:$E$2=$A161)*(Cotações!$J$2:$J$2=J161),0),0)),""))</f>
        <v/>
      </c>
      <c r="L161" s="18">
        <f>IF(I161=0,"—",IFERROR(J161*H161,""))</f>
        <v/>
      </c>
      <c r="M161" s="16" t="inlineStr">
        <is>
          <t>consequência de manter a técnica aberta: chuva de vento e maresia urbana atingem os equipamentos · custo pequeno perto do ganho de COP da bomba de calor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  <row r="26">
      <c r="A26" s="21" t="inlineStr">
        <is>
          <t>16/07/2026</t>
        </is>
      </c>
      <c r="B26" s="22" t="inlineStr">
        <is>
          <t>Cobogó da fachada NO ajustado para h=3,00 (era 3,50) — mesma altura do muro de divisa</t>
        </is>
      </c>
      <c r="C26" s="22" t="inlineStr">
        <is>
          <t>Uniformiza a altura dos elementos verticais externos da casa</t>
        </is>
      </c>
    </row>
    <row r="27">
      <c r="A27" s="16" t="inlineStr">
        <is>
          <t>16/07/2026</t>
        </is>
      </c>
      <c r="B27" s="17" t="inlineStr">
        <is>
          <t>Cobogó estendido até encostar no muro de divisa NE (antes parava ~0,80 m antes)</t>
        </is>
      </c>
      <c r="C27" s="17" t="inlineStr">
        <is>
          <t>Vira estrutura contínua com o muro — 1 ponta apoiada no mourão do muro, só a ponta livre precisa de mourão próprio</t>
        </is>
      </c>
    </row>
    <row r="28">
      <c r="A28" s="21" t="inlineStr">
        <is>
          <t>19/07/2026</t>
        </is>
      </c>
      <c r="B28" s="22" t="inlineStr">
        <is>
          <t>Cantoneira de PVC c/ abas de tela especificada para TODOS os cantos externos e vãos (321 m)</t>
        </is>
      </c>
      <c r="C28" s="22" t="inlineStr">
        <is>
          <t>Padroniza o arremate em Monolev e Lightwall · alumínio descartado em massa cimentícia (corrosão alcalina) · ~R$ 1,6-2,6 mil, dentro da etapa 4</t>
        </is>
      </c>
    </row>
    <row r="29">
      <c r="A29" s="16" t="inlineStr">
        <is>
          <t>19/07/2026</t>
        </is>
      </c>
      <c r="B29" s="17" t="inlineStr">
        <is>
          <t>Auditoria de orientação das folhas: planta e elevações conferidas e coerentes; marcadores NE/SO adicionados nas elevações</t>
        </is>
      </c>
      <c r="C29" s="17" t="inlineStr">
        <is>
          <t>A elevação da rua é espelhada por convenção (NE à esquerda, SO à direita) — agora indicado na própria folha</t>
        </is>
      </c>
    </row>
    <row r="30">
      <c r="A30" s="21" t="inlineStr">
        <is>
          <t>19/07/2026</t>
        </is>
      </c>
      <c r="B30" s="22" t="inlineStr">
        <is>
          <t>Janelão da escada corrigido para 3,20 x 4,70 m (havia 3 valores divergentes: 3,18 na planta, 2,40 na elevação, 2,20 no catálogo)</t>
        </is>
      </c>
      <c r="C30" s="22" t="inlineStr">
        <is>
          <t>Vidro 10,5 -&gt; 15 m² · impacto na etapa 7 (esquadrias)</t>
        </is>
      </c>
    </row>
    <row r="31">
      <c r="A31" s="16" t="inlineStr">
        <is>
          <t>24/07/2026</t>
        </is>
      </c>
      <c r="B31" s="17" t="inlineStr">
        <is>
          <t>Exaustão da ilha: plenum embutido no forro c/ 2 frestas de 30 mm + luz linear integrada; motor inline remoto na área técnica; automação pelo consumo do circuito do Invisacook</t>
        </is>
      </c>
      <c r="C31" s="17" t="inlineStr">
        <is>
          <t>1.100 m³/h @ 200 Pa · duto Ø250 (v=6,2 m/s) · 32-38 dB(A) na cozinha · NOVO PONTO SEM RETORNO: furo Ø250 na laje da técnica (etapa 5)</t>
        </is>
      </c>
    </row>
    <row r="32">
      <c r="A32" s="21" t="inlineStr">
        <is>
          <t>24/07/2026</t>
        </is>
      </c>
      <c r="B32" s="22" t="inlineStr">
        <is>
          <t>Área técnica passa a ser ABERTA (sem porta, portão-gradil) c/ escada marinheiro na parede da Luz 2</t>
        </is>
      </c>
      <c r="C32" s="22" t="inlineStr">
        <is>
          <t>Garante ar para a bomba de calor (11,5 m³ fechados seriam insuficientes; fabricantes exigem 15-20 m³ ou ventilação permanente) · exige equipamentos IP65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2026-07-27T03:33:50Z</dcterms:created>
  <dcterms:modified xsi:type="dcterms:W3CDTF">2026-07-27T03:33:50Z</dcterms:modified>
</cp:coreProperties>
</file>