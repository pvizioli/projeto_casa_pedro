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18/07/2026 15:19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~320 m² líquidos — perímetro + estruturais do térreo (divisa da garagem, testada)</t>
        </is>
      </c>
    </row>
    <row r="21" ht="24" customHeight="1">
      <c r="A21" s="11" t="inlineStr">
        <is>
          <t>Divisórias em Lightwall</t>
        </is>
      </c>
      <c r="B21" s="12" t="inlineStr">
        <is>
          <t>Lightwall 2P 90 mm ~100 m²: todo o pav. superior (conceito mezanino) + caixas do lavabo e do banheiro do térreo — nenhuma delas é estrutural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 (1,20)</t>
        </is>
      </c>
      <c r="B25" s="12" t="inlineStr">
        <is>
          <t>Da fachada ao fundo: portinha (0,80) · Luz 1 = jardim de inverno c/ parede verde e janelão 3,50 (4,10) · PAREDE CEGA · Luz 2 = varal (4,10) · lavanderia + área técnica acima (4,00, único trecho coberto até a divisa)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Muro de divisa</t>
        </is>
      </c>
      <c r="B27" s="12" t="inlineStr">
        <is>
          <t>Pré-moldado (placa de concreto) 210 m² — 2 laterais (30,00 m cada, SO/viela + NE/vizinho) + fundo (10,00 m, SE) · h=3,00 m · frente (NO) sem muro (condomínio fechado)</t>
        </is>
      </c>
    </row>
    <row r="28" ht="24" customHeight="1">
      <c r="A28" s="11" t="inlineStr">
        <is>
          <t>Térreo — faixa SO</t>
        </is>
      </c>
      <c r="B28" s="12" t="inlineStr">
        <is>
          <t>Lavabo 1,50 × 1,50 no canto da garagem c/ o corredor (janela p/ o corredor) · despensa (1,50 × 1,10) + bancada + banheiro completo (1,50 × 2,50, sem box) no fundo, porta ÚNICA p/ a área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10">
    <mergeCell ref="B28:D28"/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(radier 103 m²) + muro de divisa 210 m²</t>
        </is>
      </c>
      <c r="C4" s="23" t="n">
        <v>50500</v>
      </c>
      <c r="D4" s="23" t="n">
        <v>78500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radier inclui eletroduto da ilha e hidráulica embutida · muro pré-moldado (placa) 210 m² (2×30,00 laterais + 10,00 fundo, h=3,00) — sistema mais econômico do mercado, ~30% mais barato que alvenaria convencional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estruturais do térreo)</t>
        </is>
      </c>
      <c r="F4" s="21" t="inlineStr"/>
      <c r="G4" s="21" t="inlineStr">
        <is>
          <t>m²</t>
        </is>
      </c>
      <c r="H4" s="29" t="n">
        <v>320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não estruturais (lavabo e banheiro do térreo + todo o superior) migradas p/ Lightwall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640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320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70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100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(8,20 × 1,20 descoberta) · cobre serviço/técnica (4,00 × 1,20)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· o lavabo do térreo não leva ralo linear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Lightwall 2P 90 mm — pav. superior completo + lavabo e banheiro do térreo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100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superior: todas as internas · térreo: caixa do lavabo (canto garagem/corredor) e do banheiro do fundo · hidráulica pesada em shaft ou no radier (cava ≤ 50% = 45 mm: NÃO passa esgoto de 100 mm) · juntas dissimilares Monolev↔Lightwall c/ tela 10 cm cada lado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4,10 × h ~3 m ≈ 12 m² · painéis modulares ou treliça c/ trepadeiras</t>
        </is>
      </c>
      <c r="G125" s="16" t="inlineStr">
        <is>
          <t>m²</t>
        </is>
      </c>
      <c r="H125" s="31" t="n">
        <v>12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da garagem c/ o corredor lateral · janela p/ o corredor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CRÍTICO: esgoto de 100 mm do vaso NÃO cabe em painel Lightwall de 90 mm — sai pelo RADIER, posição congelada antes da concretagem (etapa 2)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do térreo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ramal embutido no radier · prumada de ventilação pela parede Monolev do corredor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lavabo seco, sem carpete de pedra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base cimentícia do Lightwall recebe microcimento direto · DIY viável</t>
        </is>
      </c>
    </row>
    <row r="150">
      <c r="A150" s="21" t="inlineStr">
        <is>
          <t>IT147</t>
        </is>
      </c>
      <c r="B150" s="22" t="inlineStr">
        <is>
          <t>Geral / Estrutura</t>
        </is>
      </c>
      <c r="C150" s="22" t="inlineStr">
        <is>
          <t>material</t>
        </is>
      </c>
      <c r="D150" s="22" t="n">
        <v>12</v>
      </c>
      <c r="E150" s="21" t="inlineStr">
        <is>
          <t>Cobogó — parede flutuante em frente ao janelão (fachada NO)</t>
        </is>
      </c>
      <c r="F150" s="21" t="inlineStr">
        <is>
          <t>h=3,00 (mesma altura do muro de divisa) m · afastada 1,00 m do janelão · do fim do vão da garagem até ~1 m além da janela · cerâmico ou concreto</t>
        </is>
      </c>
      <c r="G150" s="21" t="inlineStr">
        <is>
          <t>m²</t>
        </is>
      </c>
      <c r="H150" s="29" t="n">
        <v>15</v>
      </c>
      <c r="I150" s="21">
        <f>COUNTIFS(Cotações!$E$2:$E$2,$A150)</f>
        <v/>
      </c>
      <c r="J150" s="30">
        <f>IF(I150=0,"—",_xlfn.MINIFS(Cotações!$J$2:$J$2,Cotações!$E$2:$E$2,$A150))</f>
        <v/>
      </c>
      <c r="K150" s="22">
        <f>IF(I150=0,"—",IFERROR(INDEX(Cotações!$H$2:$H$2,MATCH(1,INDEX((Cotações!$E$2:$E$2=$A150)*(Cotações!$J$2:$J$2=J150),0),0)),""))</f>
        <v/>
      </c>
      <c r="L150" s="23">
        <f>IF(I150=0,"—",IFERROR(J150*H150,""))</f>
        <v/>
      </c>
      <c r="M150" s="21" t="inlineStr">
        <is>
          <t>sapata corrida própria + pilaretes a cada 2,5-3 m + cinta de coroamento no topo (resiste a vento, não é só empilhado) · cria câmara de ar ventilada contra o janelão (efeito chaminé) em vez de metal colado no vidro</t>
        </is>
      </c>
    </row>
    <row r="151">
      <c r="A151" s="16" t="inlineStr">
        <is>
          <t>IT148</t>
        </is>
      </c>
      <c r="B151" s="17" t="inlineStr">
        <is>
          <t>Mão de obra</t>
        </is>
      </c>
      <c r="C151" s="17" t="inlineStr">
        <is>
          <t>mão de obra</t>
        </is>
      </c>
      <c r="D151" s="17" t="n">
        <v>12</v>
      </c>
      <c r="E151" s="16" t="inlineStr">
        <is>
          <t>Mão de obra — fundação e elevação do cobogó (parede flutuante)</t>
        </is>
      </c>
      <c r="F151" s="16" t="inlineStr">
        <is>
          <t>sapata + pilaretes + assentamento do cobogó + cinta de coroamento</t>
        </is>
      </c>
      <c r="G151" s="16" t="inlineStr">
        <is>
          <t>vb</t>
        </is>
      </c>
      <c r="H151" s="31" t="n">
        <v>1</v>
      </c>
      <c r="I151" s="16">
        <f>COUNTIFS(Cotações!$E$2:$E$2,$A151)</f>
        <v/>
      </c>
      <c r="J151" s="32">
        <f>IF(I151=0,"—",_xlfn.MINIFS(Cotações!$J$2:$J$2,Cotações!$E$2:$E$2,$A151))</f>
        <v/>
      </c>
      <c r="K151" s="17">
        <f>IF(I151=0,"—",IFERROR(INDEX(Cotações!$H$2:$H$2,MATCH(1,INDEX((Cotações!$E$2:$E$2=$A151)*(Cotações!$J$2:$J$2=J151),0),0)),""))</f>
        <v/>
      </c>
      <c r="L151" s="18">
        <f>IF(I151=0,"—",IFERROR(J151*H151,""))</f>
        <v/>
      </c>
      <c r="M151" s="16" t="inlineStr"/>
    </row>
    <row r="152">
      <c r="A152" s="21" t="inlineStr">
        <is>
          <t>IT149</t>
        </is>
      </c>
      <c r="B152" s="22" t="inlineStr">
        <is>
          <t>Geral / Estrutura</t>
        </is>
      </c>
      <c r="C152" s="22" t="inlineStr">
        <is>
          <t>material</t>
        </is>
      </c>
      <c r="D152" s="22" t="n">
        <v>2</v>
      </c>
      <c r="E152" s="21" t="inlineStr">
        <is>
          <t>Muro de divisa pré-moldado (placa de concreto) — 2 laterais + fundo</t>
        </is>
      </c>
      <c r="F152" s="21" t="inlineStr">
        <is>
          <t>mourões "H" de concreto a cada 1,60-1,67 m + placas de concreto armado (3-3,5 cm) encaixadas, empilhadas até h=3,00 · pingadeira + chapéu de acabamento no topo</t>
        </is>
      </c>
      <c r="G152" s="21" t="inlineStr">
        <is>
          <t>m²</t>
        </is>
      </c>
      <c r="H152" s="29" t="n">
        <v>210</v>
      </c>
      <c r="I152" s="21">
        <f>COUNTIFS(Cotações!$E$2:$E$2,$A152)</f>
        <v/>
      </c>
      <c r="J152" s="30">
        <f>IF(I152=0,"—",_xlfn.MINIFS(Cotações!$J$2:$J$2,Cotações!$E$2:$E$2,$A152))</f>
        <v/>
      </c>
      <c r="K152" s="22">
        <f>IF(I152=0,"—",IFERROR(INDEX(Cotações!$H$2:$H$2,MATCH(1,INDEX((Cotações!$E$2:$E$2=$A152)*(Cotações!$J$2:$J$2=J152),0),0)),""))</f>
        <v/>
      </c>
      <c r="L152" s="23">
        <f>IF(I152=0,"—",IFERROR(J152*H152,""))</f>
        <v/>
      </c>
      <c r="M152" s="21" t="inlineStr">
        <is>
          <t>sistema MAIS ECONÔMICO do mercado (~30% mais barato que alvenaria+reboco+pintura) · 210 m² = 2×30,00 (viela SO + divisa NE) + 10,00 (fundo SE), h=3,00 · verificar carga de vento em muro isolado de 3,00 m (mourão/fundação dimensionados p/ altura, não é só empilhar) · trecho da divisa NE atrás do jardim de inverno recebe a parede verde como acabamento — não duplica estrutura</t>
        </is>
      </c>
    </row>
    <row r="153">
      <c r="A153" s="16" t="inlineStr">
        <is>
          <t>IT150</t>
        </is>
      </c>
      <c r="B153" s="17" t="inlineStr">
        <is>
          <t>Mão de obra</t>
        </is>
      </c>
      <c r="C153" s="17" t="inlineStr">
        <is>
          <t>mão de obra</t>
        </is>
      </c>
      <c r="D153" s="17" t="n">
        <v>2</v>
      </c>
      <c r="E153" s="16" t="inlineStr">
        <is>
          <t>Mão de obra — fundação + montagem do muro de divisa</t>
        </is>
      </c>
      <c r="F153" s="16" t="inlineStr">
        <is>
          <t>fundação direta dos mourões + encaixe das placas + rejunte completo</t>
        </is>
      </c>
      <c r="G153" s="16" t="inlineStr">
        <is>
          <t>vb</t>
        </is>
      </c>
      <c r="H153" s="31" t="n">
        <v>1</v>
      </c>
      <c r="I153" s="16">
        <f>COUNTIFS(Cotações!$E$2:$E$2,$A153)</f>
        <v/>
      </c>
      <c r="J153" s="32">
        <f>IF(I153=0,"—",_xlfn.MINIFS(Cotações!$J$2:$J$2,Cotações!$E$2:$E$2,$A153))</f>
        <v/>
      </c>
      <c r="K153" s="17">
        <f>IF(I153=0,"—",IFERROR(INDEX(Cotações!$H$2:$H$2,MATCH(1,INDEX((Cotações!$E$2:$E$2=$A153)*(Cotações!$J$2:$J$2=J153),0),0)),""))</f>
        <v/>
      </c>
      <c r="L153" s="18">
        <f>IF(I153=0,"—",IFERROR(J153*H153,""))</f>
        <v/>
      </c>
      <c r="M153" s="16" t="inlineStr">
        <is>
          <t>obra rápida por ser pré-moldado · recomendação: executar cedo (junto com o radier ou antes) para segurança do canteiro durante o restante da obra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(radier 103 m²) + muro de divisa 210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  <row r="17">
      <c r="A17" s="16" t="inlineStr">
        <is>
          <t>16/07/2026</t>
        </is>
      </c>
      <c r="B17" s="17" t="inlineStr">
        <is>
          <t>Porta da lavanderia a 0,90 da parede do fundo</t>
        </is>
      </c>
      <c r="C17" s="17" t="inlineStr">
        <is>
          <t>Máquina sob a janela do fundo + nicho de geladeira no canto da cozinha</t>
        </is>
      </c>
    </row>
    <row r="18">
      <c r="A18" s="21" t="inlineStr">
        <is>
          <t>16/07/2026</t>
        </is>
      </c>
      <c r="B18" s="22" t="inlineStr">
        <is>
          <t>Lavanderia/técnica 2,50 → 4,00 m; Luz 1 e Luz 2 4,85 → 4,10 m cada</t>
        </is>
      </c>
      <c r="C18" s="22" t="inlineStr">
        <is>
          <t>Faixa de luz 9,70 → 8,20 m · laje 68 → 70 m² · telha 98 → 100 m² · parede verde 14 → 12 m²</t>
        </is>
      </c>
    </row>
    <row r="19">
      <c r="A19" s="16" t="inlineStr">
        <is>
          <t>16/07/2026</t>
        </is>
      </c>
      <c r="B19" s="17" t="inlineStr">
        <is>
          <t>Banheiro e lavabo do térreo unificados em um só (1,50 × 2,50)</t>
        </is>
      </c>
      <c r="C19" s="17" t="inlineStr">
        <is>
          <t>Cozinha recupera ~1,9 m² · porta única p/ a área gourmet</t>
        </is>
      </c>
    </row>
    <row r="20">
      <c r="A20" s="21" t="inlineStr">
        <is>
          <t>16/07/2026</t>
        </is>
      </c>
      <c r="B20" s="22" t="inlineStr">
        <is>
          <t>Lavabo 1,50 × 1,50 no canto da garagem c/ o corredor (janela p/ o corredor)</t>
        </is>
      </c>
      <c r="C20" s="22" t="inlineStr">
        <is>
          <t>Térreo volta a ter banheiro acessível por dentro</t>
        </is>
      </c>
    </row>
    <row r="21">
      <c r="A21" s="16" t="inlineStr">
        <is>
          <t>16/07/2026</t>
        </is>
      </c>
      <c r="B21" s="17" t="inlineStr">
        <is>
          <t>Divisórias do térreo (lavabo e banheiro) em Lightwall, não Monolev</t>
        </is>
      </c>
      <c r="C21" s="17" t="inlineStr">
        <is>
          <t>Monolev 340 → 320 m² · Lightwall 80 → 100 m² · esgoto de 100 mm obrigatoriamente pelo radier</t>
        </is>
      </c>
    </row>
    <row r="22">
      <c r="A22" s="21" t="inlineStr">
        <is>
          <t>16/07/2026</t>
        </is>
      </c>
      <c r="B22" s="22" t="inlineStr">
        <is>
          <t>Superior: copa desce 1 m; corredor avança 1 m na suíte; porta da suíte na lateral (closet recuado)</t>
        </is>
      </c>
      <c r="C22" s="22" t="inlineStr">
        <is>
          <t>Quarto 3,70 → 4,70 m (10 → 11,8 m²) · suíte 4,50 → 3,50 m · closet passante 1,20 × 2,50 · suíte sem janela na viela (luz pelo vidro da extensão)</t>
        </is>
      </c>
    </row>
    <row r="23">
      <c r="A23" s="16" t="inlineStr">
        <is>
          <t>16/07/2026</t>
        </is>
      </c>
      <c r="B23" s="17" t="inlineStr">
        <is>
          <t>Corredor reto, porta da suíte de frente no fim do corredor (desfeita a porta lateral); parede do closet removida (ficava dupla c/ a do corredor)</t>
        </is>
      </c>
      <c r="C23" s="17" t="inlineStr">
        <is>
          <t>Closet passa de 1,20 → 1,60 m de largura; nicho natural atrás da parede do corredor</t>
        </is>
      </c>
    </row>
    <row r="24">
      <c r="A24" s="21" t="inlineStr">
        <is>
          <t>16/07/2026</t>
        </is>
      </c>
      <c r="B24" s="22" t="inlineStr">
        <is>
          <t>Cobogó em parede flutuante em frente ao janelão da fachada NO (h=3,50, afastado 1,00 m); porta de acesso à Luz 1 removida (a incluir depois); película espelhada restrita ao piso superior</t>
        </is>
      </c>
      <c r="C24" s="22" t="inlineStr">
        <is>
          <t>Câmara de ar ventilada evita transferência de calor para o vidro · térreo do janelão fica com vidro transparente</t>
        </is>
      </c>
    </row>
    <row r="25">
      <c r="A25" s="16" t="inlineStr">
        <is>
          <t>16/07/2026</t>
        </is>
      </c>
      <c r="B25" s="17" t="inlineStr">
        <is>
          <t>Muro de divisa pré-moldado nos 2 lados + fundo (210 m², h=3,00) — frente sem muro (condomínio fechado)</t>
        </is>
      </c>
      <c r="C25" s="17" t="inlineStr">
        <is>
          <t>Etapa 2 (fundação): R$ 45k → R$ 50,5-78,5k · total do projeto R$ 502-793k → R$ 533,5-845,5k</t>
        </is>
      </c>
    </row>
    <row r="26">
      <c r="A26" s="21" t="inlineStr">
        <is>
          <t>16/07/2026</t>
        </is>
      </c>
      <c r="B26" s="22" t="inlineStr">
        <is>
          <t>Cobogó da fachada NO ajustado para h=3,00 (era 3,50) — mesma altura do muro de divisa</t>
        </is>
      </c>
      <c r="C26" s="22" t="inlineStr">
        <is>
          <t>Uniformiza a altura dos elementos verticais externos da casa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2026-07-18T18:19:00Z</dcterms:created>
  <dcterms:modified xsi:type="dcterms:W3CDTF">2026-07-18T18:19:00Z</dcterms:modified>
</cp:coreProperties>
</file>